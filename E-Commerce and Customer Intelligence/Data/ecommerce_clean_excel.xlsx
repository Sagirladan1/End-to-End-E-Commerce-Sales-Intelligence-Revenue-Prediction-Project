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dan\OneDrive\Documents\Data Analysis Exercise\"/>
    </mc:Choice>
  </mc:AlternateContent>
  <xr:revisionPtr revIDLastSave="0" documentId="13_ncr:1_{78033AFC-EA7D-4E35-B78E-620E338FB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</calcChain>
</file>

<file path=xl/sharedStrings.xml><?xml version="1.0" encoding="utf-8"?>
<sst xmlns="http://schemas.openxmlformats.org/spreadsheetml/2006/main" count="2213" uniqueCount="488">
  <si>
    <t>Order_ID</t>
  </si>
  <si>
    <t>Order_Date</t>
  </si>
  <si>
    <t>Customer_ID</t>
  </si>
  <si>
    <t>Customer_Name</t>
  </si>
  <si>
    <t>Gender</t>
  </si>
  <si>
    <t>Age</t>
  </si>
  <si>
    <t>Country</t>
  </si>
  <si>
    <t>City</t>
  </si>
  <si>
    <t>Product_Name</t>
  </si>
  <si>
    <t>Quantity</t>
  </si>
  <si>
    <t>Unit_Price</t>
  </si>
  <si>
    <t>Discount</t>
  </si>
  <si>
    <t>Shipping_Cost</t>
  </si>
  <si>
    <t>Payment_Method</t>
  </si>
  <si>
    <t>Sales_Rep</t>
  </si>
  <si>
    <t>Delivery_Status</t>
  </si>
  <si>
    <t>Customer_Rating</t>
  </si>
  <si>
    <t>Revenue</t>
  </si>
  <si>
    <t>ORD1001</t>
  </si>
  <si>
    <t>CUST501</t>
  </si>
  <si>
    <t>Esther Ali</t>
  </si>
  <si>
    <t>Male</t>
  </si>
  <si>
    <t>Canada</t>
  </si>
  <si>
    <t>Toronto</t>
  </si>
  <si>
    <t>Electronics</t>
  </si>
  <si>
    <t>Laptop</t>
  </si>
  <si>
    <t>PayPal</t>
  </si>
  <si>
    <t>Amina</t>
  </si>
  <si>
    <t>Delivered</t>
  </si>
  <si>
    <t>ORD1002</t>
  </si>
  <si>
    <t>CUST502</t>
  </si>
  <si>
    <t>Female</t>
  </si>
  <si>
    <t>Germany</t>
  </si>
  <si>
    <t>Hamburg</t>
  </si>
  <si>
    <t>Fashion</t>
  </si>
  <si>
    <t>Jeans</t>
  </si>
  <si>
    <t>Musa</t>
  </si>
  <si>
    <t>Pending</t>
  </si>
  <si>
    <t>ORD1003</t>
  </si>
  <si>
    <t>CUST503</t>
  </si>
  <si>
    <t>John Musa</t>
  </si>
  <si>
    <t>Ottawa</t>
  </si>
  <si>
    <t>T-Shirt</t>
  </si>
  <si>
    <t>Grace</t>
  </si>
  <si>
    <t>Returned</t>
  </si>
  <si>
    <t>ORD1004</t>
  </si>
  <si>
    <t>CUST504</t>
  </si>
  <si>
    <t>Berlin</t>
  </si>
  <si>
    <t>Smart Watch</t>
  </si>
  <si>
    <t>Card</t>
  </si>
  <si>
    <t>ORD1005</t>
  </si>
  <si>
    <t>CUST505</t>
  </si>
  <si>
    <t>Mary James</t>
  </si>
  <si>
    <t>New York</t>
  </si>
  <si>
    <t>Home</t>
  </si>
  <si>
    <t>Blender</t>
  </si>
  <si>
    <t>David</t>
  </si>
  <si>
    <t>ORD1006</t>
  </si>
  <si>
    <t>CUST506</t>
  </si>
  <si>
    <t>Dallas</t>
  </si>
  <si>
    <t>Tablet</t>
  </si>
  <si>
    <t>ORD1007</t>
  </si>
  <si>
    <t>CUST507</t>
  </si>
  <si>
    <t>Ahmed Bello</t>
  </si>
  <si>
    <t>Nigeria</t>
  </si>
  <si>
    <t>Abuja</t>
  </si>
  <si>
    <t>Beauty</t>
  </si>
  <si>
    <t>Lipstick</t>
  </si>
  <si>
    <t>ORD1008</t>
  </si>
  <si>
    <t>CUST508</t>
  </si>
  <si>
    <t>UK</t>
  </si>
  <si>
    <t>Liverpool</t>
  </si>
  <si>
    <t>Cookware Set</t>
  </si>
  <si>
    <t>ORD1009</t>
  </si>
  <si>
    <t>CUST509</t>
  </si>
  <si>
    <t>Grace John</t>
  </si>
  <si>
    <t>Lagos</t>
  </si>
  <si>
    <t>Makeup Kit</t>
  </si>
  <si>
    <t>Bank Transfer</t>
  </si>
  <si>
    <t>ORD1010</t>
  </si>
  <si>
    <t>CUST510</t>
  </si>
  <si>
    <t>Sarah Ali</t>
  </si>
  <si>
    <t>London</t>
  </si>
  <si>
    <t>Headphones</t>
  </si>
  <si>
    <t>ORD1011</t>
  </si>
  <si>
    <t>CUST511</t>
  </si>
  <si>
    <t>Jacket</t>
  </si>
  <si>
    <t>ORD1012</t>
  </si>
  <si>
    <t>CUST512</t>
  </si>
  <si>
    <t>ORD1013</t>
  </si>
  <si>
    <t>CUST513</t>
  </si>
  <si>
    <t>ORD1014</t>
  </si>
  <si>
    <t>CUST514</t>
  </si>
  <si>
    <t>Handbag</t>
  </si>
  <si>
    <t>ORD1015</t>
  </si>
  <si>
    <t>CUST515</t>
  </si>
  <si>
    <t>Face Cream</t>
  </si>
  <si>
    <t>ORD1016</t>
  </si>
  <si>
    <t>CUST516</t>
  </si>
  <si>
    <t>Manchester</t>
  </si>
  <si>
    <t>Curtains</t>
  </si>
  <si>
    <t>ORD1017</t>
  </si>
  <si>
    <t>CUST517</t>
  </si>
  <si>
    <t>Munich</t>
  </si>
  <si>
    <t>ORD1018</t>
  </si>
  <si>
    <t>CUST518</t>
  </si>
  <si>
    <t>ORD1019</t>
  </si>
  <si>
    <t>CUST519</t>
  </si>
  <si>
    <t>ORD1020</t>
  </si>
  <si>
    <t>CUST520</t>
  </si>
  <si>
    <t>ORD1021</t>
  </si>
  <si>
    <t>CUST521</t>
  </si>
  <si>
    <t>Perfume</t>
  </si>
  <si>
    <t>ORD1022</t>
  </si>
  <si>
    <t>CUST522</t>
  </si>
  <si>
    <t>ORD1023</t>
  </si>
  <si>
    <t>CUST523</t>
  </si>
  <si>
    <t>ORD1024</t>
  </si>
  <si>
    <t>CUST524</t>
  </si>
  <si>
    <t>Chicago</t>
  </si>
  <si>
    <t>ORD1025</t>
  </si>
  <si>
    <t>CUST525</t>
  </si>
  <si>
    <t>ORD1026</t>
  </si>
  <si>
    <t>CUST526</t>
  </si>
  <si>
    <t>ORD1027</t>
  </si>
  <si>
    <t>CUST527</t>
  </si>
  <si>
    <t>ORD1028</t>
  </si>
  <si>
    <t>CUST528</t>
  </si>
  <si>
    <t>ORD1029</t>
  </si>
  <si>
    <t>CUST529</t>
  </si>
  <si>
    <t>ORD1030</t>
  </si>
  <si>
    <t>CUST530</t>
  </si>
  <si>
    <t>ORD1031</t>
  </si>
  <si>
    <t>CUST531</t>
  </si>
  <si>
    <t>Fatima</t>
  </si>
  <si>
    <t>ORD1032</t>
  </si>
  <si>
    <t>CUST532</t>
  </si>
  <si>
    <t>ORD1033</t>
  </si>
  <si>
    <t>CUST533</t>
  </si>
  <si>
    <t>ORD1034</t>
  </si>
  <si>
    <t>CUST534</t>
  </si>
  <si>
    <t>ORD1035</t>
  </si>
  <si>
    <t>CUST535</t>
  </si>
  <si>
    <t>ORD1036</t>
  </si>
  <si>
    <t>CUST536</t>
  </si>
  <si>
    <t>ORD1037</t>
  </si>
  <si>
    <t>CUST537</t>
  </si>
  <si>
    <t>ORD1038</t>
  </si>
  <si>
    <t>CUST538</t>
  </si>
  <si>
    <t>ORD1039</t>
  </si>
  <si>
    <t>CUST539</t>
  </si>
  <si>
    <t>Kano</t>
  </si>
  <si>
    <t>ORD1040</t>
  </si>
  <si>
    <t>CUST540</t>
  </si>
  <si>
    <t>Sneakers</t>
  </si>
  <si>
    <t>ORD1041</t>
  </si>
  <si>
    <t>CUST541</t>
  </si>
  <si>
    <t>ORD1042</t>
  </si>
  <si>
    <t>CUST542</t>
  </si>
  <si>
    <t>Vancouver</t>
  </si>
  <si>
    <t>ORD1043</t>
  </si>
  <si>
    <t>CUST543</t>
  </si>
  <si>
    <t>ORD1044</t>
  </si>
  <si>
    <t>CUST544</t>
  </si>
  <si>
    <t>ORD1045</t>
  </si>
  <si>
    <t>CUST545</t>
  </si>
  <si>
    <t>ORD1046</t>
  </si>
  <si>
    <t>CUST546</t>
  </si>
  <si>
    <t>Smartphone</t>
  </si>
  <si>
    <t>ORD1047</t>
  </si>
  <si>
    <t>CUST547</t>
  </si>
  <si>
    <t>ORD1048</t>
  </si>
  <si>
    <t>CUST548</t>
  </si>
  <si>
    <t>ORD1049</t>
  </si>
  <si>
    <t>CUST549</t>
  </si>
  <si>
    <t>Table Lamp</t>
  </si>
  <si>
    <t>ORD1050</t>
  </si>
  <si>
    <t>CUST550</t>
  </si>
  <si>
    <t>ORD1051</t>
  </si>
  <si>
    <t>CUST551</t>
  </si>
  <si>
    <t>ORD1052</t>
  </si>
  <si>
    <t>CUST552</t>
  </si>
  <si>
    <t>ORD1053</t>
  </si>
  <si>
    <t>CUST553</t>
  </si>
  <si>
    <t>Chair</t>
  </si>
  <si>
    <t>ORD1054</t>
  </si>
  <si>
    <t>CUST554</t>
  </si>
  <si>
    <t>ORD1055</t>
  </si>
  <si>
    <t>CUST555</t>
  </si>
  <si>
    <t>ORD1056</t>
  </si>
  <si>
    <t>CUST556</t>
  </si>
  <si>
    <t>Hair Dryer</t>
  </si>
  <si>
    <t>ORD1057</t>
  </si>
  <si>
    <t>CUST557</t>
  </si>
  <si>
    <t>ORD1058</t>
  </si>
  <si>
    <t>CUST558</t>
  </si>
  <si>
    <t>ORD1059</t>
  </si>
  <si>
    <t>CUST559</t>
  </si>
  <si>
    <t>ORD1060</t>
  </si>
  <si>
    <t>CUST560</t>
  </si>
  <si>
    <t>ORD1061</t>
  </si>
  <si>
    <t>CUST561</t>
  </si>
  <si>
    <t>ORD1062</t>
  </si>
  <si>
    <t>CUST562</t>
  </si>
  <si>
    <t>ORD1063</t>
  </si>
  <si>
    <t>CUST563</t>
  </si>
  <si>
    <t>ORD1064</t>
  </si>
  <si>
    <t>CUST564</t>
  </si>
  <si>
    <t>ORD1065</t>
  </si>
  <si>
    <t>CUST565</t>
  </si>
  <si>
    <t>ORD1067</t>
  </si>
  <si>
    <t>CUST567</t>
  </si>
  <si>
    <t>ORD1068</t>
  </si>
  <si>
    <t>CUST568</t>
  </si>
  <si>
    <t>ORD1069</t>
  </si>
  <si>
    <t>CUST569</t>
  </si>
  <si>
    <t>ORD1070</t>
  </si>
  <si>
    <t>CUST570</t>
  </si>
  <si>
    <t>ORD1071</t>
  </si>
  <si>
    <t>CUST571</t>
  </si>
  <si>
    <t>ORD1072</t>
  </si>
  <si>
    <t>CUST572</t>
  </si>
  <si>
    <t>ORD1073</t>
  </si>
  <si>
    <t>CUST573</t>
  </si>
  <si>
    <t>ORD1074</t>
  </si>
  <si>
    <t>CUST574</t>
  </si>
  <si>
    <t>ORD1075</t>
  </si>
  <si>
    <t>CUST575</t>
  </si>
  <si>
    <t>ORD1076</t>
  </si>
  <si>
    <t>CUST576</t>
  </si>
  <si>
    <t>smartphone</t>
  </si>
  <si>
    <t>ORD1077</t>
  </si>
  <si>
    <t>CUST577</t>
  </si>
  <si>
    <t>ORD1078</t>
  </si>
  <si>
    <t>CUST578</t>
  </si>
  <si>
    <t>ORD1079</t>
  </si>
  <si>
    <t>CUST579</t>
  </si>
  <si>
    <t>ORD1080</t>
  </si>
  <si>
    <t>CUST580</t>
  </si>
  <si>
    <t>ORD1081</t>
  </si>
  <si>
    <t>CUST581</t>
  </si>
  <si>
    <t>ORD1082</t>
  </si>
  <si>
    <t>CUST582</t>
  </si>
  <si>
    <t>ORD1083</t>
  </si>
  <si>
    <t>CUST583</t>
  </si>
  <si>
    <t>ORD1084</t>
  </si>
  <si>
    <t>CUST584</t>
  </si>
  <si>
    <t>ORD1085</t>
  </si>
  <si>
    <t>CUST585</t>
  </si>
  <si>
    <t>ORD1086</t>
  </si>
  <si>
    <t>CUST586</t>
  </si>
  <si>
    <t>ORD1087</t>
  </si>
  <si>
    <t>CUST587</t>
  </si>
  <si>
    <t>ORD1088</t>
  </si>
  <si>
    <t>CUST588</t>
  </si>
  <si>
    <t>ORD1089</t>
  </si>
  <si>
    <t>CUST589</t>
  </si>
  <si>
    <t>ORD1090</t>
  </si>
  <si>
    <t>CUST590</t>
  </si>
  <si>
    <t>ORD1091</t>
  </si>
  <si>
    <t>CUST591</t>
  </si>
  <si>
    <t xml:space="preserve"> </t>
  </si>
  <si>
    <t>ORD1092</t>
  </si>
  <si>
    <t>CUST592</t>
  </si>
  <si>
    <t>ORD1093</t>
  </si>
  <si>
    <t>CUST593</t>
  </si>
  <si>
    <t>ORD1094</t>
  </si>
  <si>
    <t>CUST594</t>
  </si>
  <si>
    <t>ORD1095</t>
  </si>
  <si>
    <t>CUST595</t>
  </si>
  <si>
    <t>ORD1096</t>
  </si>
  <si>
    <t>CUST596</t>
  </si>
  <si>
    <t>ORD1097</t>
  </si>
  <si>
    <t>CUST597</t>
  </si>
  <si>
    <t>ORD1098</t>
  </si>
  <si>
    <t>CUST598</t>
  </si>
  <si>
    <t>ORD1099</t>
  </si>
  <si>
    <t>CUST599</t>
  </si>
  <si>
    <t>ORD1100</t>
  </si>
  <si>
    <t>CUST600</t>
  </si>
  <si>
    <t>ORD1101</t>
  </si>
  <si>
    <t>CUST601</t>
  </si>
  <si>
    <t>ORD1102</t>
  </si>
  <si>
    <t>CUST602</t>
  </si>
  <si>
    <t>ORD1103</t>
  </si>
  <si>
    <t>CUST603</t>
  </si>
  <si>
    <t>ORD1104</t>
  </si>
  <si>
    <t>CUST604</t>
  </si>
  <si>
    <t>ORD1105</t>
  </si>
  <si>
    <t>CUST605</t>
  </si>
  <si>
    <t>ORD1106</t>
  </si>
  <si>
    <t>CUST606</t>
  </si>
  <si>
    <t>ORD1107</t>
  </si>
  <si>
    <t>CUST607</t>
  </si>
  <si>
    <t>ORD1108</t>
  </si>
  <si>
    <t>CUST608</t>
  </si>
  <si>
    <t>ORD1109</t>
  </si>
  <si>
    <t>CUST609</t>
  </si>
  <si>
    <t>ORD1110</t>
  </si>
  <si>
    <t>CUST610</t>
  </si>
  <si>
    <t>ORD1111</t>
  </si>
  <si>
    <t>CUST611</t>
  </si>
  <si>
    <t>ORD1112</t>
  </si>
  <si>
    <t>CUST612</t>
  </si>
  <si>
    <t>ORD1113</t>
  </si>
  <si>
    <t>CUST613</t>
  </si>
  <si>
    <t>ORD1114</t>
  </si>
  <si>
    <t>CUST614</t>
  </si>
  <si>
    <t>ORD1115</t>
  </si>
  <si>
    <t>CUST615</t>
  </si>
  <si>
    <t>ORD1116</t>
  </si>
  <si>
    <t>CUST616</t>
  </si>
  <si>
    <t>ORD1117</t>
  </si>
  <si>
    <t>CUST617</t>
  </si>
  <si>
    <t>ORD1118</t>
  </si>
  <si>
    <t>CUST618</t>
  </si>
  <si>
    <t>ORD1119</t>
  </si>
  <si>
    <t>CUST619</t>
  </si>
  <si>
    <t>ORD1120</t>
  </si>
  <si>
    <t>CUST620</t>
  </si>
  <si>
    <t>ORD1121</t>
  </si>
  <si>
    <t>CUST621</t>
  </si>
  <si>
    <t>ORD1122</t>
  </si>
  <si>
    <t>CUST622</t>
  </si>
  <si>
    <t>ORD1123</t>
  </si>
  <si>
    <t>CUST623</t>
  </si>
  <si>
    <t>ORD1124</t>
  </si>
  <si>
    <t>CUST624</t>
  </si>
  <si>
    <t>ORD1125</t>
  </si>
  <si>
    <t>CUST625</t>
  </si>
  <si>
    <t>ORD1126</t>
  </si>
  <si>
    <t>CUST626</t>
  </si>
  <si>
    <t>ORD1127</t>
  </si>
  <si>
    <t>CUST627</t>
  </si>
  <si>
    <t>ORD1128</t>
  </si>
  <si>
    <t>CUST628</t>
  </si>
  <si>
    <t>ORD1129</t>
  </si>
  <si>
    <t>CUST629</t>
  </si>
  <si>
    <t>ORD1130</t>
  </si>
  <si>
    <t>CUST630</t>
  </si>
  <si>
    <t>ORD1131</t>
  </si>
  <si>
    <t>CUST631</t>
  </si>
  <si>
    <t>ORD1132</t>
  </si>
  <si>
    <t>CUST632</t>
  </si>
  <si>
    <t>ORD1133</t>
  </si>
  <si>
    <t>CUST633</t>
  </si>
  <si>
    <t>ORD1134</t>
  </si>
  <si>
    <t>CUST634</t>
  </si>
  <si>
    <t>ORD1135</t>
  </si>
  <si>
    <t>CUST635</t>
  </si>
  <si>
    <t>ORD1136</t>
  </si>
  <si>
    <t>CUST636</t>
  </si>
  <si>
    <t>ORD1137</t>
  </si>
  <si>
    <t>CUST637</t>
  </si>
  <si>
    <t>ORD1138</t>
  </si>
  <si>
    <t>CUST638</t>
  </si>
  <si>
    <t>ORD1139</t>
  </si>
  <si>
    <t>CUST639</t>
  </si>
  <si>
    <t>ORD1140</t>
  </si>
  <si>
    <t>CUST640</t>
  </si>
  <si>
    <t>ORD1141</t>
  </si>
  <si>
    <t>CUST641</t>
  </si>
  <si>
    <t>ORD1142</t>
  </si>
  <si>
    <t>CUST642</t>
  </si>
  <si>
    <t>ORD1143</t>
  </si>
  <si>
    <t>CUST643</t>
  </si>
  <si>
    <t>ORD1144</t>
  </si>
  <si>
    <t>CUST644</t>
  </si>
  <si>
    <t>ORD1145</t>
  </si>
  <si>
    <t>CUST645</t>
  </si>
  <si>
    <t>ORD1146</t>
  </si>
  <si>
    <t>CUST646</t>
  </si>
  <si>
    <t>ORD1147</t>
  </si>
  <si>
    <t>CUST647</t>
  </si>
  <si>
    <t>ORD1148</t>
  </si>
  <si>
    <t>CUST648</t>
  </si>
  <si>
    <t>ORD1149</t>
  </si>
  <si>
    <t>CUST649</t>
  </si>
  <si>
    <t>ORD1150</t>
  </si>
  <si>
    <t>CUST650</t>
  </si>
  <si>
    <t>ORD1151</t>
  </si>
  <si>
    <t>CUST651</t>
  </si>
  <si>
    <t>ORD1152</t>
  </si>
  <si>
    <t>CUST652</t>
  </si>
  <si>
    <t>ORD1153</t>
  </si>
  <si>
    <t>CUST653</t>
  </si>
  <si>
    <t>ORD1154</t>
  </si>
  <si>
    <t>CUST654</t>
  </si>
  <si>
    <t>ORD1155</t>
  </si>
  <si>
    <t>CUST655</t>
  </si>
  <si>
    <t>ORD1156</t>
  </si>
  <si>
    <t>CUST656</t>
  </si>
  <si>
    <t>ORD1157</t>
  </si>
  <si>
    <t>CUST657</t>
  </si>
  <si>
    <t>ORD1158</t>
  </si>
  <si>
    <t>CUST658</t>
  </si>
  <si>
    <t>ORD1159</t>
  </si>
  <si>
    <t>CUST659</t>
  </si>
  <si>
    <t>ORD1160</t>
  </si>
  <si>
    <t>CUST660</t>
  </si>
  <si>
    <t>ORD1161</t>
  </si>
  <si>
    <t>CUST661</t>
  </si>
  <si>
    <t>ORD1162</t>
  </si>
  <si>
    <t>CUST662</t>
  </si>
  <si>
    <t>ORD1163</t>
  </si>
  <si>
    <t>CUST663</t>
  </si>
  <si>
    <t>ORD1164</t>
  </si>
  <si>
    <t>CUST664</t>
  </si>
  <si>
    <t>ORD1165</t>
  </si>
  <si>
    <t>CUST665</t>
  </si>
  <si>
    <t>ORD1166</t>
  </si>
  <si>
    <t>CUST666</t>
  </si>
  <si>
    <t>ORD1167</t>
  </si>
  <si>
    <t>CUST667</t>
  </si>
  <si>
    <t>ORD1168</t>
  </si>
  <si>
    <t>CUST668</t>
  </si>
  <si>
    <t>ORD1169</t>
  </si>
  <si>
    <t>CUST669</t>
  </si>
  <si>
    <t>ORD1170</t>
  </si>
  <si>
    <t>CUST670</t>
  </si>
  <si>
    <t>ORD1171</t>
  </si>
  <si>
    <t>CUST671</t>
  </si>
  <si>
    <t>ORD1172</t>
  </si>
  <si>
    <t>CUST672</t>
  </si>
  <si>
    <t>ORD1173</t>
  </si>
  <si>
    <t>CUST673</t>
  </si>
  <si>
    <t>ORD1174</t>
  </si>
  <si>
    <t>CUST674</t>
  </si>
  <si>
    <t>ORD1175</t>
  </si>
  <si>
    <t>CUST675</t>
  </si>
  <si>
    <t>ORD1176</t>
  </si>
  <si>
    <t>CUST676</t>
  </si>
  <si>
    <t>ORD1177</t>
  </si>
  <si>
    <t>CUST677</t>
  </si>
  <si>
    <t>ORD1178</t>
  </si>
  <si>
    <t>CUST678</t>
  </si>
  <si>
    <t>ORD1179</t>
  </si>
  <si>
    <t>CUST679</t>
  </si>
  <si>
    <t>ORD1180</t>
  </si>
  <si>
    <t>CUST680</t>
  </si>
  <si>
    <t>ORD1181</t>
  </si>
  <si>
    <t>CUST681</t>
  </si>
  <si>
    <t>ORD1182</t>
  </si>
  <si>
    <t>CUST682</t>
  </si>
  <si>
    <t>ORD1183</t>
  </si>
  <si>
    <t>CUST683</t>
  </si>
  <si>
    <t>ORD1184</t>
  </si>
  <si>
    <t>CUST684</t>
  </si>
  <si>
    <t>ORD1185</t>
  </si>
  <si>
    <t>CUST685</t>
  </si>
  <si>
    <t>ORD1186</t>
  </si>
  <si>
    <t>CUST686</t>
  </si>
  <si>
    <t>ORD1187</t>
  </si>
  <si>
    <t>CUST687</t>
  </si>
  <si>
    <t>ORD1188</t>
  </si>
  <si>
    <t>CUST688</t>
  </si>
  <si>
    <t>ORD1189</t>
  </si>
  <si>
    <t>CUST689</t>
  </si>
  <si>
    <t>ORD1190</t>
  </si>
  <si>
    <t>CUST690</t>
  </si>
  <si>
    <t>ORD1191</t>
  </si>
  <si>
    <t>CUST691</t>
  </si>
  <si>
    <t>ORD1192</t>
  </si>
  <si>
    <t>CUST692</t>
  </si>
  <si>
    <t>ORD1193</t>
  </si>
  <si>
    <t>CUST693</t>
  </si>
  <si>
    <t>ORD1194</t>
  </si>
  <si>
    <t>CUST694</t>
  </si>
  <si>
    <t>ORD1195</t>
  </si>
  <si>
    <t>CUST695</t>
  </si>
  <si>
    <t>ORD1196</t>
  </si>
  <si>
    <t>CUST696</t>
  </si>
  <si>
    <t>ORD1197</t>
  </si>
  <si>
    <t>CUST697</t>
  </si>
  <si>
    <t>ORD1198</t>
  </si>
  <si>
    <t>CUST698</t>
  </si>
  <si>
    <t>ORD1199</t>
  </si>
  <si>
    <t>CUST699</t>
  </si>
  <si>
    <t>ORD1200</t>
  </si>
  <si>
    <t>CUST700</t>
  </si>
  <si>
    <t>Unknown Customer</t>
  </si>
  <si>
    <t>Usa</t>
  </si>
  <si>
    <t>Uk</t>
  </si>
  <si>
    <t>Negative_quantity</t>
  </si>
  <si>
    <t>Inavlid_Ratings</t>
  </si>
  <si>
    <t>Check_Return</t>
  </si>
  <si>
    <t>Clean_Revenue</t>
  </si>
  <si>
    <t>Old_New_Rev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</si>
</sst>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]d\ mmm\ yyyy;@" x16r2:formatCode16="[$-en-NG,1]d\ mmm\ yyyy;@"/>
    <numFmt numFmtId="165" formatCode="[$$-409]#,##0.00"/>
    <numFmt numFmtId="166" formatCode="[$$-409]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165" formatCode="[$$-409]#,##0.00"/>
    </dxf>
    <dxf>
      <numFmt numFmtId="165" formatCode="[$$-409]#,##0.00"/>
    </dxf>
    <dxf>
      <numFmt numFmtId="0" formatCode="General"/>
    </dxf>
    <dxf>
      <numFmt numFmtId="0" formatCode="General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0" formatCode="General"/>
    </dxf>
    <dxf>
      <numFmt numFmtId="164" formatCode="[$]d\ mmm\ yyyy;@" x16r2:formatCode16="[$-en-NG,1]d\ mmm\ 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248F8-2C9A-405E-9CF8-0767D84AB804}" name="Table1" displayName="Table1" ref="A1:X200" totalsRowShown="0" headerRowDxfId="12" headerRowBorderDxfId="11" tableBorderDxfId="10">
  <autoFilter ref="A1:X200" xr:uid="{96A248F8-2C9A-405E-9CF8-0767D84AB804}"/>
  <tableColumns count="24">
    <tableColumn id="1" xr3:uid="{E3C709B2-1AC8-4DF6-9176-75A707697DBE}" name="Order_ID"/>
    <tableColumn id="2" xr3:uid="{156C3CDD-5949-48A6-9C34-CC8D418B1E03}" name="Order_Date" dataDxfId="9"/>
    <tableColumn id="3" xr3:uid="{04F3DE19-89B3-4ABC-88E3-AD3BEDEDD29B}" name="Customer_ID"/>
    <tableColumn id="4" xr3:uid="{025C8DB5-FC7A-424B-96A1-081A7C864632}" name="Customer_Name"/>
    <tableColumn id="5" xr3:uid="{8B04430F-F537-472B-93AB-6A66B796B421}" name="Gender"/>
    <tableColumn id="6" xr3:uid="{1524D70B-DB2B-4B36-A447-4127FC4C634D}" name="Age"/>
    <tableColumn id="7" xr3:uid="{2A12A268-2F9D-4008-A007-1FED80CE06A8}" name="Country"/>
    <tableColumn id="8" xr3:uid="{0F246CC9-FFFB-479F-B162-E3CEB491060F}" name="City"/>
    <tableColumn id="9" xr3:uid="{1430C41B-DBA8-4E4F-AAF3-349A6D2721E3}" name="Electronics"/>
    <tableColumn id="10" xr3:uid="{508BC6D2-AA06-470E-84A8-C85877784025}" name="Product_Name"/>
    <tableColumn id="11" xr3:uid="{988EA145-F9FB-4A0E-A8A6-E20DA3B7C5E4}" name="Quantity"/>
    <tableColumn id="22" xr3:uid="{BD3193F9-7172-4826-940E-90C136EF6197}" name="Negative_quantity" dataDxfId="8">
      <calculatedColumnFormula>IF(K2&lt;0,"Invalid","Valid")</calculatedColumnFormula>
    </tableColumn>
    <tableColumn id="12" xr3:uid="{A191C432-0168-472E-9F0C-38BFDB571B4F}" name="Unit_Price" dataDxfId="7"/>
    <tableColumn id="13" xr3:uid="{5EF7BC80-869F-47AC-88DC-F8BD8295FA6B}" name="Discount" dataDxfId="6"/>
    <tableColumn id="14" xr3:uid="{51DB14DF-92C9-4DF3-BEF7-E9DEBA774779}" name="Shipping_Cost" dataDxfId="5"/>
    <tableColumn id="15" xr3:uid="{AF70DF6B-E6BF-4CA7-83A3-059AA807F7FB}" name="Payment_Method"/>
    <tableColumn id="16" xr3:uid="{DFF289E8-4463-4DAB-AF32-C65B858354EA}" name="Sales_Rep"/>
    <tableColumn id="17" xr3:uid="{A6C09979-2A1A-4346-9B15-59CEF4C87774}" name="Delivery_Status"/>
    <tableColumn id="24" xr3:uid="{F942B8FD-547D-4B35-952D-EF345243FB16}" name="Check_Return" dataDxfId="4">
      <calculatedColumnFormula>IF(AND(R2="Returned",V2&gt;0),"Check Return","OK")</calculatedColumnFormula>
    </tableColumn>
    <tableColumn id="18" xr3:uid="{5E672A46-254A-4CEF-B183-04F3207A8C78}" name="Customer_Rating"/>
    <tableColumn id="23" xr3:uid="{4CEC6FB3-1F4B-4F28-804A-18CB7BFB3787}" name="Inavlid_Ratings" dataDxfId="3">
      <calculatedColumnFormula>IF(T2&gt;5,"Invalid Rating","OK")</calculatedColumnFormula>
    </tableColumn>
    <tableColumn id="19" xr3:uid="{8C475C8F-5E95-4DE3-B83D-9C42A5E4C549}" name="Revenue" dataDxfId="2"/>
    <tableColumn id="25" xr3:uid="{8C3B2143-3776-4B10-BE9C-0D94F6BA85D0}" name="Clean_Revenue" dataDxfId="1">
      <calculatedColumnFormula>(K2*M2)-N2+O2</calculatedColumnFormula>
    </tableColumn>
    <tableColumn id="26" xr3:uid="{9DC49B94-64FB-4530-AE1D-9186BBC6C36A}" name="Old_New_Rev" dataDxfId="0">
      <calculatedColumnFormula>IF(V2=W2,"Correct","Mismatch")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"/>
  <sheetViews>
    <sheetView tabSelected="1" workbookViewId="0">
      <pane ySplit="1" topLeftCell="A67" activePane="bottomLeft" state="frozen"/>
      <selection activeCell="C1" sqref="C1"/>
      <selection pane="bottomLeft" activeCell="D83" sqref="D83"/>
    </sheetView>
  </sheetViews>
  <sheetFormatPr defaultRowHeight="14.4" x14ac:dyDescent="0.3"/>
  <cols>
    <col min="1" max="1" width="10.44140625" customWidth="1"/>
    <col min="2" max="2" width="16.88671875" style="3" customWidth="1"/>
    <col min="3" max="3" width="13.77734375" customWidth="1"/>
    <col min="4" max="4" width="17" customWidth="1"/>
    <col min="5" max="5" width="9" customWidth="1"/>
    <col min="7" max="7" width="16.6640625" customWidth="1"/>
    <col min="9" max="9" width="18.109375" customWidth="1"/>
    <col min="10" max="10" width="18.88671875" customWidth="1"/>
    <col min="11" max="11" width="15.33203125" customWidth="1"/>
    <col min="12" max="12" width="18.77734375" hidden="1" customWidth="1"/>
    <col min="13" max="13" width="14.5546875" style="9" customWidth="1"/>
    <col min="14" max="14" width="13.5546875" style="9" customWidth="1"/>
    <col min="15" max="15" width="14.88671875" style="9" customWidth="1"/>
    <col min="16" max="16" width="18.21875" customWidth="1"/>
    <col min="17" max="17" width="15.33203125" customWidth="1"/>
    <col min="18" max="18" width="15.88671875" customWidth="1"/>
    <col min="19" max="19" width="15.88671875" hidden="1" customWidth="1"/>
    <col min="20" max="20" width="17.33203125" customWidth="1"/>
    <col min="21" max="21" width="17.33203125" hidden="1" customWidth="1"/>
    <col min="22" max="22" width="10.21875" style="5" customWidth="1"/>
    <col min="23" max="23" width="15.33203125" style="5" customWidth="1"/>
    <col min="24" max="24" width="14.44140625" hidden="1" customWidth="1"/>
  </cols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24</v>
      </c>
      <c r="J1" s="1" t="s">
        <v>8</v>
      </c>
      <c r="K1" s="1" t="s">
        <v>9</v>
      </c>
      <c r="L1" s="6" t="s">
        <v>483</v>
      </c>
      <c r="M1" s="8" t="s">
        <v>10</v>
      </c>
      <c r="N1" s="8" t="s">
        <v>11</v>
      </c>
      <c r="O1" s="8" t="s">
        <v>12</v>
      </c>
      <c r="P1" s="1" t="s">
        <v>13</v>
      </c>
      <c r="Q1" s="1" t="s">
        <v>14</v>
      </c>
      <c r="R1" s="1" t="s">
        <v>15</v>
      </c>
      <c r="S1" s="6" t="s">
        <v>485</v>
      </c>
      <c r="T1" s="1" t="s">
        <v>16</v>
      </c>
      <c r="U1" s="6" t="s">
        <v>484</v>
      </c>
      <c r="V1" s="4" t="s">
        <v>17</v>
      </c>
      <c r="W1" s="7" t="s">
        <v>486</v>
      </c>
      <c r="X1" s="6" t="s">
        <v>487</v>
      </c>
    </row>
    <row r="2" spans="1:24" x14ac:dyDescent="0.3">
      <c r="A2" t="s">
        <v>18</v>
      </c>
      <c r="B2" s="3">
        <v>45744</v>
      </c>
      <c r="C2" t="s">
        <v>19</v>
      </c>
      <c r="D2" t="s">
        <v>20</v>
      </c>
      <c r="E2" t="s">
        <v>21</v>
      </c>
      <c r="F2">
        <v>55</v>
      </c>
      <c r="G2" t="s">
        <v>32</v>
      </c>
      <c r="H2" t="s">
        <v>23</v>
      </c>
      <c r="I2" t="s">
        <v>34</v>
      </c>
      <c r="J2" t="s">
        <v>25</v>
      </c>
      <c r="K2">
        <v>2</v>
      </c>
      <c r="L2" t="str">
        <f t="shared" ref="L2:L33" si="0">IF(K2&lt;0,"Invalid","Valid")</f>
        <v>Valid</v>
      </c>
      <c r="M2" s="9">
        <v>335</v>
      </c>
      <c r="N2" s="9">
        <v>94</v>
      </c>
      <c r="O2" s="9">
        <v>11</v>
      </c>
      <c r="P2" t="s">
        <v>26</v>
      </c>
      <c r="Q2" t="s">
        <v>27</v>
      </c>
      <c r="R2" t="s">
        <v>28</v>
      </c>
      <c r="S2" t="str">
        <f t="shared" ref="S2:S33" si="1">IF(AND(R2="Returned",V2&gt;0),"Check Return","OK")</f>
        <v>OK</v>
      </c>
      <c r="T2">
        <v>1</v>
      </c>
      <c r="U2" t="str">
        <f t="shared" ref="U2:U33" si="2">IF(T2&gt;5,"Invalid Rating","OK")</f>
        <v>OK</v>
      </c>
      <c r="V2" s="5">
        <v>587</v>
      </c>
      <c r="W2" s="5">
        <f t="shared" ref="W2:W33" si="3">(K2*M2)-N2+O2</f>
        <v>587</v>
      </c>
      <c r="X2" t="str">
        <f t="shared" ref="X2:X33" si="4">IF(V2=W2,"Correct","Mismatch")</f>
        <v>Correct</v>
      </c>
    </row>
    <row r="3" spans="1:24" x14ac:dyDescent="0.3">
      <c r="A3" t="s">
        <v>29</v>
      </c>
      <c r="B3" s="3">
        <v>45741</v>
      </c>
      <c r="C3" t="s">
        <v>30</v>
      </c>
      <c r="D3" t="s">
        <v>20</v>
      </c>
      <c r="E3" t="s">
        <v>31</v>
      </c>
      <c r="F3">
        <v>32</v>
      </c>
      <c r="G3" t="s">
        <v>22</v>
      </c>
      <c r="H3" t="s">
        <v>33</v>
      </c>
      <c r="I3" t="s">
        <v>34</v>
      </c>
      <c r="J3" t="s">
        <v>35</v>
      </c>
      <c r="K3">
        <v>1</v>
      </c>
      <c r="L3" t="str">
        <f t="shared" si="0"/>
        <v>Valid</v>
      </c>
      <c r="M3" s="9">
        <v>1199</v>
      </c>
      <c r="N3" s="9">
        <v>25</v>
      </c>
      <c r="O3" s="9">
        <v>50</v>
      </c>
      <c r="P3" t="s">
        <v>26</v>
      </c>
      <c r="Q3" t="s">
        <v>36</v>
      </c>
      <c r="R3" t="s">
        <v>37</v>
      </c>
      <c r="S3" t="str">
        <f t="shared" si="1"/>
        <v>OK</v>
      </c>
      <c r="T3">
        <v>1</v>
      </c>
      <c r="U3" t="str">
        <f t="shared" si="2"/>
        <v>OK</v>
      </c>
      <c r="V3" s="5">
        <v>1224</v>
      </c>
      <c r="W3" s="5">
        <f t="shared" si="3"/>
        <v>1224</v>
      </c>
      <c r="X3" t="str">
        <f t="shared" si="4"/>
        <v>Correct</v>
      </c>
    </row>
    <row r="4" spans="1:24" x14ac:dyDescent="0.3">
      <c r="A4" t="s">
        <v>38</v>
      </c>
      <c r="B4" s="3">
        <v>45671</v>
      </c>
      <c r="C4" t="s">
        <v>39</v>
      </c>
      <c r="D4" t="s">
        <v>40</v>
      </c>
      <c r="E4" t="s">
        <v>31</v>
      </c>
      <c r="F4">
        <v>24</v>
      </c>
      <c r="G4" t="s">
        <v>32</v>
      </c>
      <c r="H4" t="s">
        <v>41</v>
      </c>
      <c r="I4" t="s">
        <v>24</v>
      </c>
      <c r="J4" t="s">
        <v>42</v>
      </c>
      <c r="K4">
        <v>2</v>
      </c>
      <c r="L4" t="str">
        <f t="shared" si="0"/>
        <v>Valid</v>
      </c>
      <c r="M4" s="9">
        <v>490</v>
      </c>
      <c r="N4" s="9">
        <v>97</v>
      </c>
      <c r="O4" s="9">
        <v>26</v>
      </c>
      <c r="P4" t="s">
        <v>26</v>
      </c>
      <c r="Q4" t="s">
        <v>43</v>
      </c>
      <c r="R4" t="s">
        <v>44</v>
      </c>
      <c r="S4" t="str">
        <f t="shared" si="1"/>
        <v>Check Return</v>
      </c>
      <c r="T4">
        <v>3</v>
      </c>
      <c r="U4" t="str">
        <f t="shared" si="2"/>
        <v>OK</v>
      </c>
      <c r="V4" s="5">
        <v>909</v>
      </c>
      <c r="W4" s="5">
        <f t="shared" si="3"/>
        <v>909</v>
      </c>
      <c r="X4" t="str">
        <f t="shared" si="4"/>
        <v>Correct</v>
      </c>
    </row>
    <row r="5" spans="1:24" x14ac:dyDescent="0.3">
      <c r="A5" t="s">
        <v>45</v>
      </c>
      <c r="B5" s="3">
        <v>45764</v>
      </c>
      <c r="C5" t="s">
        <v>46</v>
      </c>
      <c r="D5" t="s">
        <v>20</v>
      </c>
      <c r="E5" t="s">
        <v>31</v>
      </c>
      <c r="F5">
        <v>54</v>
      </c>
      <c r="G5" t="s">
        <v>481</v>
      </c>
      <c r="H5" t="s">
        <v>47</v>
      </c>
      <c r="I5" t="s">
        <v>54</v>
      </c>
      <c r="J5" t="s">
        <v>48</v>
      </c>
      <c r="K5">
        <v>4</v>
      </c>
      <c r="L5" t="str">
        <f t="shared" si="0"/>
        <v>Valid</v>
      </c>
      <c r="M5" s="9">
        <v>211</v>
      </c>
      <c r="N5" s="9">
        <v>70</v>
      </c>
      <c r="O5" s="9">
        <v>23</v>
      </c>
      <c r="P5" t="s">
        <v>49</v>
      </c>
      <c r="Q5" t="s">
        <v>27</v>
      </c>
      <c r="R5" t="s">
        <v>28</v>
      </c>
      <c r="S5" t="str">
        <f t="shared" si="1"/>
        <v>OK</v>
      </c>
      <c r="T5">
        <v>2</v>
      </c>
      <c r="U5" t="str">
        <f t="shared" si="2"/>
        <v>OK</v>
      </c>
      <c r="V5" s="5">
        <v>797</v>
      </c>
      <c r="W5" s="5">
        <f t="shared" si="3"/>
        <v>797</v>
      </c>
      <c r="X5" t="str">
        <f t="shared" si="4"/>
        <v>Correct</v>
      </c>
    </row>
    <row r="6" spans="1:24" x14ac:dyDescent="0.3">
      <c r="A6" t="s">
        <v>50</v>
      </c>
      <c r="B6" s="3">
        <v>45764</v>
      </c>
      <c r="C6" t="s">
        <v>51</v>
      </c>
      <c r="D6" t="s">
        <v>52</v>
      </c>
      <c r="E6" t="s">
        <v>21</v>
      </c>
      <c r="F6">
        <v>41</v>
      </c>
      <c r="G6" t="s">
        <v>64</v>
      </c>
      <c r="H6" t="s">
        <v>53</v>
      </c>
      <c r="I6" t="s">
        <v>24</v>
      </c>
      <c r="J6" t="s">
        <v>55</v>
      </c>
      <c r="K6">
        <v>4</v>
      </c>
      <c r="L6" t="str">
        <f t="shared" si="0"/>
        <v>Valid</v>
      </c>
      <c r="M6" s="9">
        <v>619</v>
      </c>
      <c r="N6" s="9">
        <v>58</v>
      </c>
      <c r="O6" s="9">
        <v>45</v>
      </c>
      <c r="P6" t="s">
        <v>26</v>
      </c>
      <c r="Q6" t="s">
        <v>56</v>
      </c>
      <c r="R6" t="s">
        <v>44</v>
      </c>
      <c r="S6" t="str">
        <f t="shared" si="1"/>
        <v>Check Return</v>
      </c>
      <c r="T6">
        <v>3</v>
      </c>
      <c r="U6" t="str">
        <f t="shared" si="2"/>
        <v>OK</v>
      </c>
      <c r="V6" s="5">
        <v>2463</v>
      </c>
      <c r="W6" s="5">
        <f t="shared" si="3"/>
        <v>2463</v>
      </c>
      <c r="X6" t="str">
        <f t="shared" si="4"/>
        <v>Correct</v>
      </c>
    </row>
    <row r="7" spans="1:24" x14ac:dyDescent="0.3">
      <c r="A7" t="s">
        <v>57</v>
      </c>
      <c r="B7" s="3">
        <v>45706</v>
      </c>
      <c r="C7" t="s">
        <v>58</v>
      </c>
      <c r="D7" t="s">
        <v>52</v>
      </c>
      <c r="E7" t="s">
        <v>21</v>
      </c>
      <c r="F7">
        <v>38</v>
      </c>
      <c r="G7" t="s">
        <v>64</v>
      </c>
      <c r="H7" t="s">
        <v>59</v>
      </c>
      <c r="I7" t="s">
        <v>66</v>
      </c>
      <c r="J7" t="s">
        <v>60</v>
      </c>
      <c r="K7">
        <v>6</v>
      </c>
      <c r="L7" t="str">
        <f t="shared" si="0"/>
        <v>Valid</v>
      </c>
      <c r="M7" s="9">
        <v>551</v>
      </c>
      <c r="N7" s="9">
        <v>20</v>
      </c>
      <c r="O7" s="9">
        <v>34</v>
      </c>
      <c r="P7" t="s">
        <v>49</v>
      </c>
      <c r="Q7" t="s">
        <v>56</v>
      </c>
      <c r="R7" t="s">
        <v>28</v>
      </c>
      <c r="S7" t="str">
        <f t="shared" si="1"/>
        <v>OK</v>
      </c>
      <c r="T7">
        <v>3</v>
      </c>
      <c r="U7" t="str">
        <f t="shared" si="2"/>
        <v>OK</v>
      </c>
      <c r="V7" s="5">
        <v>3320</v>
      </c>
      <c r="W7" s="5">
        <f t="shared" si="3"/>
        <v>3320</v>
      </c>
      <c r="X7" t="str">
        <f t="shared" si="4"/>
        <v>Correct</v>
      </c>
    </row>
    <row r="8" spans="1:24" x14ac:dyDescent="0.3">
      <c r="A8" t="s">
        <v>61</v>
      </c>
      <c r="B8" s="3">
        <v>45721</v>
      </c>
      <c r="C8" t="s">
        <v>62</v>
      </c>
      <c r="D8" t="s">
        <v>63</v>
      </c>
      <c r="E8" t="s">
        <v>31</v>
      </c>
      <c r="F8">
        <v>27</v>
      </c>
      <c r="G8" t="s">
        <v>482</v>
      </c>
      <c r="H8" t="s">
        <v>65</v>
      </c>
      <c r="I8" t="s">
        <v>54</v>
      </c>
      <c r="J8" t="s">
        <v>67</v>
      </c>
      <c r="K8">
        <v>5</v>
      </c>
      <c r="L8" t="str">
        <f t="shared" si="0"/>
        <v>Valid</v>
      </c>
      <c r="M8" s="9">
        <v>694</v>
      </c>
      <c r="N8" s="9">
        <v>27</v>
      </c>
      <c r="O8" s="9">
        <v>46</v>
      </c>
      <c r="P8" t="s">
        <v>26</v>
      </c>
      <c r="Q8" t="s">
        <v>56</v>
      </c>
      <c r="R8" t="s">
        <v>28</v>
      </c>
      <c r="S8" t="str">
        <f t="shared" si="1"/>
        <v>OK</v>
      </c>
      <c r="T8">
        <v>5</v>
      </c>
      <c r="U8" t="str">
        <f t="shared" si="2"/>
        <v>OK</v>
      </c>
      <c r="V8" s="5">
        <v>3489</v>
      </c>
      <c r="W8" s="5">
        <f t="shared" si="3"/>
        <v>3489</v>
      </c>
      <c r="X8" t="str">
        <f t="shared" si="4"/>
        <v>Correct</v>
      </c>
    </row>
    <row r="9" spans="1:24" x14ac:dyDescent="0.3">
      <c r="A9" t="s">
        <v>68</v>
      </c>
      <c r="B9" s="3">
        <v>45723</v>
      </c>
      <c r="C9" t="s">
        <v>69</v>
      </c>
      <c r="D9" t="s">
        <v>63</v>
      </c>
      <c r="E9" t="s">
        <v>21</v>
      </c>
      <c r="F9">
        <v>21</v>
      </c>
      <c r="G9" t="s">
        <v>64</v>
      </c>
      <c r="H9" t="s">
        <v>71</v>
      </c>
      <c r="I9" t="s">
        <v>66</v>
      </c>
      <c r="J9" t="s">
        <v>72</v>
      </c>
      <c r="K9">
        <v>4</v>
      </c>
      <c r="L9" t="str">
        <f t="shared" si="0"/>
        <v>Valid</v>
      </c>
      <c r="M9" s="9">
        <v>791</v>
      </c>
      <c r="N9" s="9">
        <v>28</v>
      </c>
      <c r="O9" s="9">
        <v>13</v>
      </c>
      <c r="P9" t="s">
        <v>49</v>
      </c>
      <c r="Q9" t="s">
        <v>56</v>
      </c>
      <c r="R9" t="s">
        <v>44</v>
      </c>
      <c r="S9" t="str">
        <f t="shared" si="1"/>
        <v>Check Return</v>
      </c>
      <c r="T9">
        <v>2</v>
      </c>
      <c r="U9" t="str">
        <f t="shared" si="2"/>
        <v>OK</v>
      </c>
      <c r="V9" s="5">
        <v>3149</v>
      </c>
      <c r="W9" s="5">
        <f t="shared" si="3"/>
        <v>3149</v>
      </c>
      <c r="X9" t="str">
        <f t="shared" si="4"/>
        <v>Correct</v>
      </c>
    </row>
    <row r="10" spans="1:24" x14ac:dyDescent="0.3">
      <c r="A10" t="s">
        <v>73</v>
      </c>
      <c r="B10" s="3">
        <v>45690</v>
      </c>
      <c r="C10" t="s">
        <v>74</v>
      </c>
      <c r="D10" t="s">
        <v>75</v>
      </c>
      <c r="E10" t="s">
        <v>21</v>
      </c>
      <c r="F10">
        <v>25</v>
      </c>
      <c r="G10" t="s">
        <v>482</v>
      </c>
      <c r="H10" t="s">
        <v>76</v>
      </c>
      <c r="I10" t="s">
        <v>24</v>
      </c>
      <c r="J10" t="s">
        <v>77</v>
      </c>
      <c r="K10">
        <v>4</v>
      </c>
      <c r="L10" t="str">
        <f t="shared" si="0"/>
        <v>Valid</v>
      </c>
      <c r="M10" s="9">
        <v>1270</v>
      </c>
      <c r="N10" s="9">
        <v>59</v>
      </c>
      <c r="O10" s="9">
        <v>38</v>
      </c>
      <c r="P10" t="s">
        <v>78</v>
      </c>
      <c r="Q10" t="s">
        <v>36</v>
      </c>
      <c r="R10" t="s">
        <v>37</v>
      </c>
      <c r="S10" t="str">
        <f t="shared" si="1"/>
        <v>OK</v>
      </c>
      <c r="T10">
        <v>3</v>
      </c>
      <c r="U10" t="str">
        <f t="shared" si="2"/>
        <v>OK</v>
      </c>
      <c r="V10" s="5">
        <v>5059</v>
      </c>
      <c r="W10" s="5">
        <f t="shared" si="3"/>
        <v>5059</v>
      </c>
      <c r="X10" t="str">
        <f t="shared" si="4"/>
        <v>Correct</v>
      </c>
    </row>
    <row r="11" spans="1:24" x14ac:dyDescent="0.3">
      <c r="A11" t="s">
        <v>79</v>
      </c>
      <c r="B11" s="3">
        <v>45722</v>
      </c>
      <c r="C11" t="s">
        <v>80</v>
      </c>
      <c r="D11" t="s">
        <v>81</v>
      </c>
      <c r="E11" t="s">
        <v>21</v>
      </c>
      <c r="F11">
        <v>58</v>
      </c>
      <c r="G11" t="s">
        <v>481</v>
      </c>
      <c r="H11" t="s">
        <v>82</v>
      </c>
      <c r="I11" t="s">
        <v>34</v>
      </c>
      <c r="J11" t="s">
        <v>83</v>
      </c>
      <c r="K11">
        <v>4</v>
      </c>
      <c r="L11" t="str">
        <f t="shared" si="0"/>
        <v>Valid</v>
      </c>
      <c r="M11" s="9">
        <v>56</v>
      </c>
      <c r="N11" s="9">
        <v>92</v>
      </c>
      <c r="O11" s="9">
        <v>21</v>
      </c>
      <c r="P11" t="s">
        <v>26</v>
      </c>
      <c r="Q11" t="s">
        <v>36</v>
      </c>
      <c r="R11" t="s">
        <v>44</v>
      </c>
      <c r="S11" t="str">
        <f t="shared" si="1"/>
        <v>Check Return</v>
      </c>
      <c r="T11">
        <v>2</v>
      </c>
      <c r="U11" t="str">
        <f t="shared" si="2"/>
        <v>OK</v>
      </c>
      <c r="V11" s="5">
        <v>153</v>
      </c>
      <c r="W11" s="5">
        <f t="shared" si="3"/>
        <v>153</v>
      </c>
      <c r="X11" t="str">
        <f t="shared" si="4"/>
        <v>Correct</v>
      </c>
    </row>
    <row r="12" spans="1:24" x14ac:dyDescent="0.3">
      <c r="A12" t="s">
        <v>84</v>
      </c>
      <c r="B12" s="3">
        <v>45720</v>
      </c>
      <c r="C12" t="s">
        <v>85</v>
      </c>
      <c r="D12" t="s">
        <v>40</v>
      </c>
      <c r="E12" t="s">
        <v>21</v>
      </c>
      <c r="F12">
        <v>41</v>
      </c>
      <c r="G12" t="s">
        <v>482</v>
      </c>
      <c r="H12" t="s">
        <v>59</v>
      </c>
      <c r="I12" t="s">
        <v>24</v>
      </c>
      <c r="J12" t="s">
        <v>86</v>
      </c>
      <c r="K12">
        <v>5</v>
      </c>
      <c r="L12" t="str">
        <f t="shared" si="0"/>
        <v>Valid</v>
      </c>
      <c r="M12" s="9">
        <v>51</v>
      </c>
      <c r="N12" s="9">
        <v>76</v>
      </c>
      <c r="O12" s="9">
        <v>25</v>
      </c>
      <c r="P12" t="s">
        <v>26</v>
      </c>
      <c r="Q12" t="s">
        <v>56</v>
      </c>
      <c r="R12" t="s">
        <v>28</v>
      </c>
      <c r="S12" t="str">
        <f t="shared" si="1"/>
        <v>OK</v>
      </c>
      <c r="T12">
        <v>2</v>
      </c>
      <c r="U12" t="str">
        <f t="shared" si="2"/>
        <v>OK</v>
      </c>
      <c r="V12" s="5">
        <v>204</v>
      </c>
      <c r="W12" s="5">
        <f t="shared" si="3"/>
        <v>204</v>
      </c>
      <c r="X12" t="str">
        <f t="shared" si="4"/>
        <v>Correct</v>
      </c>
    </row>
    <row r="13" spans="1:24" x14ac:dyDescent="0.3">
      <c r="A13" t="s">
        <v>87</v>
      </c>
      <c r="B13" s="3">
        <v>45718</v>
      </c>
      <c r="C13" t="s">
        <v>88</v>
      </c>
      <c r="D13" t="s">
        <v>75</v>
      </c>
      <c r="E13" t="s">
        <v>21</v>
      </c>
      <c r="F13">
        <v>34</v>
      </c>
      <c r="G13" t="s">
        <v>482</v>
      </c>
      <c r="H13" t="s">
        <v>82</v>
      </c>
      <c r="I13" t="s">
        <v>34</v>
      </c>
      <c r="J13" t="s">
        <v>25</v>
      </c>
      <c r="K13">
        <v>5</v>
      </c>
      <c r="L13" t="str">
        <f t="shared" si="0"/>
        <v>Valid</v>
      </c>
      <c r="M13" s="9">
        <v>307</v>
      </c>
      <c r="N13" s="9">
        <v>16</v>
      </c>
      <c r="O13" s="9">
        <v>47</v>
      </c>
      <c r="P13" t="s">
        <v>78</v>
      </c>
      <c r="Q13" t="s">
        <v>36</v>
      </c>
      <c r="R13" t="s">
        <v>37</v>
      </c>
      <c r="S13" t="str">
        <f t="shared" si="1"/>
        <v>OK</v>
      </c>
      <c r="T13">
        <v>2</v>
      </c>
      <c r="U13" t="str">
        <f t="shared" si="2"/>
        <v>OK</v>
      </c>
      <c r="V13" s="5">
        <v>1566</v>
      </c>
      <c r="W13" s="5">
        <f t="shared" si="3"/>
        <v>1566</v>
      </c>
      <c r="X13" t="str">
        <f t="shared" si="4"/>
        <v>Correct</v>
      </c>
    </row>
    <row r="14" spans="1:24" x14ac:dyDescent="0.3">
      <c r="A14" t="s">
        <v>89</v>
      </c>
      <c r="B14" s="3">
        <v>45715</v>
      </c>
      <c r="C14" t="s">
        <v>90</v>
      </c>
      <c r="D14" t="s">
        <v>40</v>
      </c>
      <c r="E14" t="s">
        <v>21</v>
      </c>
      <c r="F14">
        <v>32</v>
      </c>
      <c r="G14" t="s">
        <v>481</v>
      </c>
      <c r="H14" t="s">
        <v>71</v>
      </c>
      <c r="I14" t="s">
        <v>34</v>
      </c>
      <c r="J14" t="s">
        <v>86</v>
      </c>
      <c r="K14">
        <v>6</v>
      </c>
      <c r="L14" t="str">
        <f t="shared" si="0"/>
        <v>Valid</v>
      </c>
      <c r="M14" s="9">
        <v>814</v>
      </c>
      <c r="N14" s="9">
        <v>56</v>
      </c>
      <c r="O14" s="9">
        <v>38</v>
      </c>
      <c r="P14" t="s">
        <v>49</v>
      </c>
      <c r="Q14" t="s">
        <v>43</v>
      </c>
      <c r="R14" t="s">
        <v>28</v>
      </c>
      <c r="S14" t="str">
        <f t="shared" si="1"/>
        <v>OK</v>
      </c>
      <c r="T14">
        <v>5</v>
      </c>
      <c r="U14" t="str">
        <f t="shared" si="2"/>
        <v>OK</v>
      </c>
      <c r="V14" s="5">
        <v>4866</v>
      </c>
      <c r="W14" s="5">
        <f t="shared" si="3"/>
        <v>4866</v>
      </c>
      <c r="X14" t="str">
        <f t="shared" si="4"/>
        <v>Correct</v>
      </c>
    </row>
    <row r="15" spans="1:24" x14ac:dyDescent="0.3">
      <c r="A15" t="s">
        <v>91</v>
      </c>
      <c r="B15" s="3">
        <v>45687</v>
      </c>
      <c r="C15" t="s">
        <v>92</v>
      </c>
      <c r="D15" t="s">
        <v>40</v>
      </c>
      <c r="E15" t="s">
        <v>21</v>
      </c>
      <c r="F15">
        <v>39</v>
      </c>
      <c r="G15" t="s">
        <v>32</v>
      </c>
      <c r="H15" t="s">
        <v>53</v>
      </c>
      <c r="I15" t="s">
        <v>66</v>
      </c>
      <c r="J15" t="s">
        <v>93</v>
      </c>
      <c r="K15">
        <v>1</v>
      </c>
      <c r="L15" t="str">
        <f t="shared" si="0"/>
        <v>Valid</v>
      </c>
      <c r="M15" s="9">
        <v>1499</v>
      </c>
      <c r="N15" s="9">
        <v>80</v>
      </c>
      <c r="O15" s="9">
        <v>8</v>
      </c>
      <c r="P15" t="s">
        <v>49</v>
      </c>
      <c r="Q15" t="s">
        <v>36</v>
      </c>
      <c r="R15" t="s">
        <v>28</v>
      </c>
      <c r="S15" t="str">
        <f t="shared" si="1"/>
        <v>OK</v>
      </c>
      <c r="T15">
        <v>3</v>
      </c>
      <c r="U15" t="str">
        <f t="shared" si="2"/>
        <v>OK</v>
      </c>
      <c r="V15" s="5">
        <v>1427</v>
      </c>
      <c r="W15" s="5">
        <f t="shared" si="3"/>
        <v>1427</v>
      </c>
      <c r="X15" t="str">
        <f t="shared" si="4"/>
        <v>Correct</v>
      </c>
    </row>
    <row r="16" spans="1:24" x14ac:dyDescent="0.3">
      <c r="A16" t="s">
        <v>94</v>
      </c>
      <c r="B16" s="3">
        <v>45689</v>
      </c>
      <c r="C16" t="s">
        <v>95</v>
      </c>
      <c r="D16" t="s">
        <v>63</v>
      </c>
      <c r="E16" t="s">
        <v>31</v>
      </c>
      <c r="F16">
        <v>30</v>
      </c>
      <c r="G16" t="s">
        <v>482</v>
      </c>
      <c r="H16" t="s">
        <v>47</v>
      </c>
      <c r="I16" t="s">
        <v>24</v>
      </c>
      <c r="J16" t="s">
        <v>96</v>
      </c>
      <c r="K16">
        <v>6</v>
      </c>
      <c r="L16" t="str">
        <f t="shared" si="0"/>
        <v>Valid</v>
      </c>
      <c r="M16" s="9">
        <v>1219</v>
      </c>
      <c r="N16" s="9">
        <v>73</v>
      </c>
      <c r="O16" s="9">
        <v>35</v>
      </c>
      <c r="P16" t="s">
        <v>49</v>
      </c>
      <c r="Q16" t="s">
        <v>27</v>
      </c>
      <c r="R16" t="s">
        <v>44</v>
      </c>
      <c r="S16" t="str">
        <f t="shared" si="1"/>
        <v>Check Return</v>
      </c>
      <c r="T16">
        <v>4</v>
      </c>
      <c r="U16" t="str">
        <f t="shared" si="2"/>
        <v>OK</v>
      </c>
      <c r="V16" s="5">
        <v>7276</v>
      </c>
      <c r="W16" s="5">
        <f t="shared" si="3"/>
        <v>7276</v>
      </c>
      <c r="X16" t="str">
        <f t="shared" si="4"/>
        <v>Correct</v>
      </c>
    </row>
    <row r="17" spans="1:24" x14ac:dyDescent="0.3">
      <c r="A17" t="s">
        <v>97</v>
      </c>
      <c r="B17" s="3">
        <v>45740</v>
      </c>
      <c r="C17" t="s">
        <v>98</v>
      </c>
      <c r="D17" t="s">
        <v>40</v>
      </c>
      <c r="E17" t="s">
        <v>21</v>
      </c>
      <c r="F17">
        <v>43</v>
      </c>
      <c r="G17" t="s">
        <v>32</v>
      </c>
      <c r="H17" t="s">
        <v>99</v>
      </c>
      <c r="I17" t="s">
        <v>34</v>
      </c>
      <c r="J17" t="s">
        <v>100</v>
      </c>
      <c r="K17">
        <v>6</v>
      </c>
      <c r="L17" t="str">
        <f t="shared" si="0"/>
        <v>Valid</v>
      </c>
      <c r="M17" s="9">
        <v>160</v>
      </c>
      <c r="N17" s="9">
        <v>86</v>
      </c>
      <c r="O17" s="9">
        <v>46</v>
      </c>
      <c r="P17" t="s">
        <v>78</v>
      </c>
      <c r="Q17" t="s">
        <v>43</v>
      </c>
      <c r="R17" t="s">
        <v>28</v>
      </c>
      <c r="S17" t="str">
        <f t="shared" si="1"/>
        <v>OK</v>
      </c>
      <c r="T17">
        <v>2</v>
      </c>
      <c r="U17" t="str">
        <f t="shared" si="2"/>
        <v>OK</v>
      </c>
      <c r="V17" s="5">
        <v>920</v>
      </c>
      <c r="W17" s="5">
        <f t="shared" si="3"/>
        <v>920</v>
      </c>
      <c r="X17" t="str">
        <f t="shared" si="4"/>
        <v>Correct</v>
      </c>
    </row>
    <row r="18" spans="1:24" x14ac:dyDescent="0.3">
      <c r="A18" t="s">
        <v>101</v>
      </c>
      <c r="B18" s="3">
        <v>45717</v>
      </c>
      <c r="C18" t="s">
        <v>102</v>
      </c>
      <c r="D18" t="s">
        <v>81</v>
      </c>
      <c r="E18" t="s">
        <v>21</v>
      </c>
      <c r="F18">
        <v>46</v>
      </c>
      <c r="G18" t="s">
        <v>481</v>
      </c>
      <c r="H18" t="s">
        <v>103</v>
      </c>
      <c r="I18" t="s">
        <v>24</v>
      </c>
      <c r="J18" t="s">
        <v>35</v>
      </c>
      <c r="K18">
        <v>2</v>
      </c>
      <c r="L18" t="str">
        <f t="shared" si="0"/>
        <v>Valid</v>
      </c>
      <c r="M18" s="9">
        <v>914</v>
      </c>
      <c r="N18" s="9">
        <v>23</v>
      </c>
      <c r="O18" s="9">
        <v>22</v>
      </c>
      <c r="P18" t="s">
        <v>78</v>
      </c>
      <c r="Q18" t="s">
        <v>27</v>
      </c>
      <c r="R18" t="s">
        <v>28</v>
      </c>
      <c r="S18" t="str">
        <f t="shared" si="1"/>
        <v>OK</v>
      </c>
      <c r="T18">
        <v>5</v>
      </c>
      <c r="U18" t="str">
        <f t="shared" si="2"/>
        <v>OK</v>
      </c>
      <c r="V18" s="5">
        <v>1827</v>
      </c>
      <c r="W18" s="5">
        <f t="shared" si="3"/>
        <v>1827</v>
      </c>
      <c r="X18" t="str">
        <f t="shared" si="4"/>
        <v>Correct</v>
      </c>
    </row>
    <row r="19" spans="1:24" x14ac:dyDescent="0.3">
      <c r="A19" t="s">
        <v>104</v>
      </c>
      <c r="B19" s="3">
        <v>45768</v>
      </c>
      <c r="C19" t="s">
        <v>105</v>
      </c>
      <c r="D19" t="s">
        <v>63</v>
      </c>
      <c r="E19" t="s">
        <v>21</v>
      </c>
      <c r="F19">
        <v>28</v>
      </c>
      <c r="G19" t="s">
        <v>482</v>
      </c>
      <c r="H19" t="s">
        <v>53</v>
      </c>
      <c r="I19" t="s">
        <v>66</v>
      </c>
      <c r="J19" t="s">
        <v>25</v>
      </c>
      <c r="K19">
        <v>4</v>
      </c>
      <c r="L19" t="str">
        <f t="shared" si="0"/>
        <v>Valid</v>
      </c>
      <c r="M19" s="9">
        <v>1044</v>
      </c>
      <c r="N19" s="9">
        <v>61</v>
      </c>
      <c r="O19" s="9">
        <v>18</v>
      </c>
      <c r="P19" t="s">
        <v>26</v>
      </c>
      <c r="Q19" t="s">
        <v>27</v>
      </c>
      <c r="R19" t="s">
        <v>37</v>
      </c>
      <c r="S19" t="str">
        <f t="shared" si="1"/>
        <v>OK</v>
      </c>
      <c r="T19">
        <v>3</v>
      </c>
      <c r="U19" t="str">
        <f t="shared" si="2"/>
        <v>OK</v>
      </c>
      <c r="V19" s="5">
        <v>4133</v>
      </c>
      <c r="W19" s="5">
        <f t="shared" si="3"/>
        <v>4133</v>
      </c>
      <c r="X19" t="str">
        <f t="shared" si="4"/>
        <v>Correct</v>
      </c>
    </row>
    <row r="20" spans="1:24" x14ac:dyDescent="0.3">
      <c r="A20" t="s">
        <v>106</v>
      </c>
      <c r="B20" s="3">
        <v>45720</v>
      </c>
      <c r="C20" t="s">
        <v>107</v>
      </c>
      <c r="D20" t="s">
        <v>81</v>
      </c>
      <c r="E20" t="s">
        <v>21</v>
      </c>
      <c r="F20">
        <v>36</v>
      </c>
      <c r="G20" t="s">
        <v>64</v>
      </c>
      <c r="H20" t="s">
        <v>71</v>
      </c>
      <c r="I20" t="s">
        <v>24</v>
      </c>
      <c r="J20" t="s">
        <v>67</v>
      </c>
      <c r="K20">
        <v>6</v>
      </c>
      <c r="L20" t="str">
        <f t="shared" si="0"/>
        <v>Valid</v>
      </c>
      <c r="M20" s="9">
        <v>1188</v>
      </c>
      <c r="N20" s="9">
        <v>84</v>
      </c>
      <c r="O20" s="9">
        <v>50</v>
      </c>
      <c r="P20" t="s">
        <v>49</v>
      </c>
      <c r="Q20" t="s">
        <v>27</v>
      </c>
      <c r="R20" t="s">
        <v>44</v>
      </c>
      <c r="S20" t="str">
        <f t="shared" si="1"/>
        <v>Check Return</v>
      </c>
      <c r="T20">
        <v>5</v>
      </c>
      <c r="U20" t="str">
        <f t="shared" si="2"/>
        <v>OK</v>
      </c>
      <c r="V20" s="5">
        <v>7094</v>
      </c>
      <c r="W20" s="5">
        <f t="shared" si="3"/>
        <v>7094</v>
      </c>
      <c r="X20" t="str">
        <f t="shared" si="4"/>
        <v>Correct</v>
      </c>
    </row>
    <row r="21" spans="1:24" x14ac:dyDescent="0.3">
      <c r="A21" t="s">
        <v>108</v>
      </c>
      <c r="B21" s="3">
        <v>45678</v>
      </c>
      <c r="C21" t="s">
        <v>109</v>
      </c>
      <c r="D21" t="s">
        <v>40</v>
      </c>
      <c r="E21" t="s">
        <v>21</v>
      </c>
      <c r="F21">
        <v>29</v>
      </c>
      <c r="G21" t="s">
        <v>32</v>
      </c>
      <c r="H21" t="s">
        <v>65</v>
      </c>
      <c r="I21" t="s">
        <v>66</v>
      </c>
      <c r="J21" t="s">
        <v>83</v>
      </c>
      <c r="K21">
        <v>5</v>
      </c>
      <c r="L21" t="str">
        <f t="shared" si="0"/>
        <v>Valid</v>
      </c>
      <c r="M21" s="9">
        <v>1026</v>
      </c>
      <c r="N21" s="9">
        <v>64</v>
      </c>
      <c r="O21" s="9">
        <v>38</v>
      </c>
      <c r="P21" t="s">
        <v>49</v>
      </c>
      <c r="Q21" t="s">
        <v>36</v>
      </c>
      <c r="R21" t="s">
        <v>28</v>
      </c>
      <c r="S21" t="str">
        <f t="shared" si="1"/>
        <v>OK</v>
      </c>
      <c r="T21">
        <v>2</v>
      </c>
      <c r="U21" t="str">
        <f t="shared" si="2"/>
        <v>OK</v>
      </c>
      <c r="V21" s="5">
        <v>5104</v>
      </c>
      <c r="W21" s="5">
        <f t="shared" si="3"/>
        <v>5104</v>
      </c>
      <c r="X21" t="str">
        <f t="shared" si="4"/>
        <v>Correct</v>
      </c>
    </row>
    <row r="22" spans="1:24" x14ac:dyDescent="0.3">
      <c r="A22" t="s">
        <v>110</v>
      </c>
      <c r="B22" s="3">
        <v>45668</v>
      </c>
      <c r="C22" t="s">
        <v>111</v>
      </c>
      <c r="D22" t="s">
        <v>63</v>
      </c>
      <c r="E22" t="s">
        <v>31</v>
      </c>
      <c r="F22">
        <v>34</v>
      </c>
      <c r="G22" t="s">
        <v>22</v>
      </c>
      <c r="H22" t="s">
        <v>47</v>
      </c>
      <c r="I22" t="s">
        <v>66</v>
      </c>
      <c r="J22" t="s">
        <v>112</v>
      </c>
      <c r="K22">
        <v>-3</v>
      </c>
      <c r="L22" t="str">
        <f t="shared" si="0"/>
        <v>Invalid</v>
      </c>
      <c r="M22" s="9">
        <v>1267</v>
      </c>
      <c r="N22" s="9">
        <v>5</v>
      </c>
      <c r="O22" s="9">
        <v>44</v>
      </c>
      <c r="P22" t="s">
        <v>49</v>
      </c>
      <c r="Q22" t="s">
        <v>43</v>
      </c>
      <c r="R22" t="s">
        <v>28</v>
      </c>
      <c r="S22" t="str">
        <f t="shared" si="1"/>
        <v>OK</v>
      </c>
      <c r="T22">
        <v>3</v>
      </c>
      <c r="U22" t="str">
        <f t="shared" si="2"/>
        <v>OK</v>
      </c>
      <c r="V22" s="5">
        <v>6374</v>
      </c>
      <c r="W22" s="5">
        <f t="shared" si="3"/>
        <v>-3762</v>
      </c>
      <c r="X22" t="str">
        <f t="shared" si="4"/>
        <v>Mismatch</v>
      </c>
    </row>
    <row r="23" spans="1:24" x14ac:dyDescent="0.3">
      <c r="A23" t="s">
        <v>113</v>
      </c>
      <c r="B23" s="3">
        <v>45737</v>
      </c>
      <c r="C23" t="s">
        <v>114</v>
      </c>
      <c r="D23" t="s">
        <v>75</v>
      </c>
      <c r="E23" t="s">
        <v>21</v>
      </c>
      <c r="F23">
        <v>22</v>
      </c>
      <c r="G23" t="s">
        <v>64</v>
      </c>
      <c r="H23" t="s">
        <v>41</v>
      </c>
      <c r="I23" t="s">
        <v>34</v>
      </c>
      <c r="J23" t="s">
        <v>96</v>
      </c>
      <c r="K23">
        <v>3</v>
      </c>
      <c r="L23" t="str">
        <f t="shared" si="0"/>
        <v>Valid</v>
      </c>
      <c r="M23" s="9">
        <v>198</v>
      </c>
      <c r="N23" s="9">
        <v>1</v>
      </c>
      <c r="O23" s="9">
        <v>34</v>
      </c>
      <c r="P23" t="s">
        <v>78</v>
      </c>
      <c r="Q23" t="s">
        <v>56</v>
      </c>
      <c r="R23" t="s">
        <v>44</v>
      </c>
      <c r="S23" t="str">
        <f t="shared" si="1"/>
        <v>Check Return</v>
      </c>
      <c r="T23">
        <v>3</v>
      </c>
      <c r="U23" t="str">
        <f t="shared" si="2"/>
        <v>OK</v>
      </c>
      <c r="V23" s="5">
        <v>627</v>
      </c>
      <c r="W23" s="5">
        <f t="shared" si="3"/>
        <v>627</v>
      </c>
      <c r="X23" t="str">
        <f t="shared" si="4"/>
        <v>Correct</v>
      </c>
    </row>
    <row r="24" spans="1:24" x14ac:dyDescent="0.3">
      <c r="A24" t="s">
        <v>115</v>
      </c>
      <c r="B24" s="3">
        <v>45764</v>
      </c>
      <c r="C24" t="s">
        <v>116</v>
      </c>
      <c r="D24" t="s">
        <v>75</v>
      </c>
      <c r="E24" t="s">
        <v>31</v>
      </c>
      <c r="F24">
        <v>57</v>
      </c>
      <c r="G24" t="s">
        <v>481</v>
      </c>
      <c r="H24" t="s">
        <v>65</v>
      </c>
      <c r="I24" t="s">
        <v>54</v>
      </c>
      <c r="J24" t="s">
        <v>86</v>
      </c>
      <c r="K24">
        <v>3</v>
      </c>
      <c r="L24" t="str">
        <f t="shared" si="0"/>
        <v>Valid</v>
      </c>
      <c r="M24" s="9">
        <v>633</v>
      </c>
      <c r="N24" s="9">
        <v>20</v>
      </c>
      <c r="O24" s="9">
        <v>33</v>
      </c>
      <c r="P24" t="s">
        <v>78</v>
      </c>
      <c r="Q24" t="s">
        <v>36</v>
      </c>
      <c r="R24" t="s">
        <v>28</v>
      </c>
      <c r="S24" t="str">
        <f t="shared" si="1"/>
        <v>OK</v>
      </c>
      <c r="T24">
        <v>5</v>
      </c>
      <c r="U24" t="str">
        <f t="shared" si="2"/>
        <v>OK</v>
      </c>
      <c r="V24" s="5">
        <v>1912</v>
      </c>
      <c r="W24" s="5">
        <f t="shared" si="3"/>
        <v>1912</v>
      </c>
      <c r="X24" t="str">
        <f t="shared" si="4"/>
        <v>Correct</v>
      </c>
    </row>
    <row r="25" spans="1:24" x14ac:dyDescent="0.3">
      <c r="A25" t="s">
        <v>117</v>
      </c>
      <c r="B25" s="3">
        <v>45677</v>
      </c>
      <c r="C25" t="s">
        <v>118</v>
      </c>
      <c r="D25" t="s">
        <v>52</v>
      </c>
      <c r="E25" t="s">
        <v>31</v>
      </c>
      <c r="F25">
        <v>56</v>
      </c>
      <c r="G25" t="s">
        <v>64</v>
      </c>
      <c r="H25" t="s">
        <v>119</v>
      </c>
      <c r="I25" t="s">
        <v>66</v>
      </c>
      <c r="J25" t="s">
        <v>55</v>
      </c>
      <c r="K25">
        <v>1</v>
      </c>
      <c r="L25" t="str">
        <f t="shared" si="0"/>
        <v>Valid</v>
      </c>
      <c r="M25" s="9">
        <v>269</v>
      </c>
      <c r="N25" s="9">
        <v>95</v>
      </c>
      <c r="O25" s="9">
        <v>40</v>
      </c>
      <c r="P25" t="s">
        <v>49</v>
      </c>
      <c r="Q25" t="s">
        <v>43</v>
      </c>
      <c r="R25" t="s">
        <v>28</v>
      </c>
      <c r="S25" t="str">
        <f t="shared" si="1"/>
        <v>OK</v>
      </c>
      <c r="T25">
        <v>3</v>
      </c>
      <c r="U25" t="str">
        <f t="shared" si="2"/>
        <v>OK</v>
      </c>
      <c r="V25" s="5">
        <v>214</v>
      </c>
      <c r="W25" s="5">
        <f t="shared" si="3"/>
        <v>214</v>
      </c>
      <c r="X25" t="str">
        <f t="shared" si="4"/>
        <v>Correct</v>
      </c>
    </row>
    <row r="26" spans="1:24" x14ac:dyDescent="0.3">
      <c r="A26" t="s">
        <v>120</v>
      </c>
      <c r="B26" s="3">
        <v>45658</v>
      </c>
      <c r="C26" t="s">
        <v>121</v>
      </c>
      <c r="D26" t="s">
        <v>52</v>
      </c>
      <c r="E26" t="s">
        <v>21</v>
      </c>
      <c r="F26">
        <v>58</v>
      </c>
      <c r="G26" t="s">
        <v>64</v>
      </c>
      <c r="H26" t="s">
        <v>65</v>
      </c>
      <c r="I26" t="s">
        <v>66</v>
      </c>
      <c r="J26" t="s">
        <v>67</v>
      </c>
      <c r="K26">
        <v>6</v>
      </c>
      <c r="L26" t="str">
        <f t="shared" si="0"/>
        <v>Valid</v>
      </c>
      <c r="M26" s="9">
        <v>917</v>
      </c>
      <c r="N26" s="9">
        <v>35</v>
      </c>
      <c r="O26" s="9">
        <v>7</v>
      </c>
      <c r="P26" t="s">
        <v>26</v>
      </c>
      <c r="Q26" t="s">
        <v>56</v>
      </c>
      <c r="R26" t="s">
        <v>44</v>
      </c>
      <c r="S26" t="str">
        <f t="shared" si="1"/>
        <v>Check Return</v>
      </c>
      <c r="T26">
        <v>4</v>
      </c>
      <c r="U26" t="str">
        <f t="shared" si="2"/>
        <v>OK</v>
      </c>
      <c r="V26" s="5">
        <v>5474</v>
      </c>
      <c r="W26" s="5">
        <f t="shared" si="3"/>
        <v>5474</v>
      </c>
      <c r="X26" t="str">
        <f t="shared" si="4"/>
        <v>Correct</v>
      </c>
    </row>
    <row r="27" spans="1:24" x14ac:dyDescent="0.3">
      <c r="A27" t="s">
        <v>122</v>
      </c>
      <c r="B27" s="3">
        <v>45662</v>
      </c>
      <c r="C27" t="s">
        <v>123</v>
      </c>
      <c r="D27" t="s">
        <v>480</v>
      </c>
      <c r="E27" t="s">
        <v>21</v>
      </c>
      <c r="F27">
        <v>45</v>
      </c>
      <c r="G27" t="s">
        <v>481</v>
      </c>
      <c r="H27" t="s">
        <v>65</v>
      </c>
      <c r="I27" t="s">
        <v>24</v>
      </c>
      <c r="J27" t="s">
        <v>77</v>
      </c>
      <c r="K27">
        <v>1</v>
      </c>
      <c r="L27" t="str">
        <f t="shared" si="0"/>
        <v>Valid</v>
      </c>
      <c r="M27" s="9">
        <v>1465</v>
      </c>
      <c r="N27" s="9">
        <v>19</v>
      </c>
      <c r="O27" s="9">
        <v>39</v>
      </c>
      <c r="P27" t="s">
        <v>49</v>
      </c>
      <c r="Q27" t="s">
        <v>27</v>
      </c>
      <c r="R27" t="s">
        <v>37</v>
      </c>
      <c r="S27" t="str">
        <f t="shared" si="1"/>
        <v>OK</v>
      </c>
      <c r="T27">
        <v>3</v>
      </c>
      <c r="U27" t="str">
        <f t="shared" si="2"/>
        <v>OK</v>
      </c>
      <c r="V27" s="5">
        <v>1485</v>
      </c>
      <c r="W27" s="5">
        <f t="shared" si="3"/>
        <v>1485</v>
      </c>
      <c r="X27" t="str">
        <f t="shared" si="4"/>
        <v>Correct</v>
      </c>
    </row>
    <row r="28" spans="1:24" x14ac:dyDescent="0.3">
      <c r="A28" t="s">
        <v>124</v>
      </c>
      <c r="B28" s="3">
        <v>45757</v>
      </c>
      <c r="C28" t="s">
        <v>125</v>
      </c>
      <c r="D28" t="s">
        <v>75</v>
      </c>
      <c r="E28" t="s">
        <v>31</v>
      </c>
      <c r="F28">
        <v>57</v>
      </c>
      <c r="G28" t="s">
        <v>64</v>
      </c>
      <c r="H28" t="s">
        <v>59</v>
      </c>
      <c r="I28" t="s">
        <v>34</v>
      </c>
      <c r="J28" t="s">
        <v>83</v>
      </c>
      <c r="K28">
        <v>2</v>
      </c>
      <c r="L28" t="str">
        <f t="shared" si="0"/>
        <v>Valid</v>
      </c>
      <c r="M28" s="9">
        <v>1415</v>
      </c>
      <c r="N28" s="9">
        <v>13</v>
      </c>
      <c r="O28" s="9">
        <v>27</v>
      </c>
      <c r="P28" t="s">
        <v>78</v>
      </c>
      <c r="Q28" t="s">
        <v>56</v>
      </c>
      <c r="R28" t="s">
        <v>28</v>
      </c>
      <c r="S28" t="str">
        <f t="shared" si="1"/>
        <v>OK</v>
      </c>
      <c r="T28">
        <v>2</v>
      </c>
      <c r="U28" t="str">
        <f t="shared" si="2"/>
        <v>OK</v>
      </c>
      <c r="V28" s="5">
        <v>2844</v>
      </c>
      <c r="W28" s="5">
        <f t="shared" si="3"/>
        <v>2844</v>
      </c>
      <c r="X28" t="str">
        <f t="shared" si="4"/>
        <v>Correct</v>
      </c>
    </row>
    <row r="29" spans="1:24" x14ac:dyDescent="0.3">
      <c r="A29" t="s">
        <v>126</v>
      </c>
      <c r="B29" s="3">
        <v>45760</v>
      </c>
      <c r="C29" t="s">
        <v>127</v>
      </c>
      <c r="D29" t="s">
        <v>20</v>
      </c>
      <c r="E29" t="s">
        <v>21</v>
      </c>
      <c r="F29">
        <v>35</v>
      </c>
      <c r="G29" t="s">
        <v>481</v>
      </c>
      <c r="H29" t="s">
        <v>65</v>
      </c>
      <c r="I29" t="s">
        <v>66</v>
      </c>
      <c r="J29" t="s">
        <v>42</v>
      </c>
      <c r="K29">
        <v>6</v>
      </c>
      <c r="L29" t="str">
        <f t="shared" si="0"/>
        <v>Valid</v>
      </c>
      <c r="M29" s="9">
        <v>730</v>
      </c>
      <c r="N29" s="9">
        <v>100</v>
      </c>
      <c r="O29" s="9">
        <v>31</v>
      </c>
      <c r="P29" t="s">
        <v>49</v>
      </c>
      <c r="Q29" t="s">
        <v>27</v>
      </c>
      <c r="R29" t="s">
        <v>37</v>
      </c>
      <c r="S29" t="str">
        <f t="shared" si="1"/>
        <v>OK</v>
      </c>
      <c r="T29">
        <v>1</v>
      </c>
      <c r="U29" t="str">
        <f t="shared" si="2"/>
        <v>OK</v>
      </c>
      <c r="V29" s="5">
        <v>4311</v>
      </c>
      <c r="W29" s="5">
        <f t="shared" si="3"/>
        <v>4311</v>
      </c>
      <c r="X29" t="str">
        <f t="shared" si="4"/>
        <v>Correct</v>
      </c>
    </row>
    <row r="30" spans="1:24" x14ac:dyDescent="0.3">
      <c r="A30" t="s">
        <v>128</v>
      </c>
      <c r="B30" s="3">
        <v>45661</v>
      </c>
      <c r="C30" t="s">
        <v>129</v>
      </c>
      <c r="D30" t="s">
        <v>20</v>
      </c>
      <c r="E30" t="s">
        <v>21</v>
      </c>
      <c r="F30">
        <v>43</v>
      </c>
      <c r="G30" t="s">
        <v>482</v>
      </c>
      <c r="H30" t="s">
        <v>119</v>
      </c>
      <c r="I30" t="s">
        <v>54</v>
      </c>
      <c r="J30" t="s">
        <v>96</v>
      </c>
      <c r="K30">
        <v>3</v>
      </c>
      <c r="L30" t="str">
        <f t="shared" si="0"/>
        <v>Valid</v>
      </c>
      <c r="M30" s="9">
        <v>675</v>
      </c>
      <c r="N30" s="9">
        <v>29</v>
      </c>
      <c r="O30" s="9">
        <v>19</v>
      </c>
      <c r="P30" t="s">
        <v>26</v>
      </c>
      <c r="Q30" t="s">
        <v>43</v>
      </c>
      <c r="R30" t="s">
        <v>28</v>
      </c>
      <c r="S30" t="str">
        <f t="shared" si="1"/>
        <v>OK</v>
      </c>
      <c r="T30">
        <v>3</v>
      </c>
      <c r="U30" t="str">
        <f t="shared" si="2"/>
        <v>OK</v>
      </c>
      <c r="V30" s="5">
        <v>2015</v>
      </c>
      <c r="W30" s="5">
        <f t="shared" si="3"/>
        <v>2015</v>
      </c>
      <c r="X30" t="str">
        <f t="shared" si="4"/>
        <v>Correct</v>
      </c>
    </row>
    <row r="31" spans="1:24" x14ac:dyDescent="0.3">
      <c r="A31" t="s">
        <v>130</v>
      </c>
      <c r="B31" s="3">
        <v>45770</v>
      </c>
      <c r="C31" t="s">
        <v>131</v>
      </c>
      <c r="D31" t="s">
        <v>52</v>
      </c>
      <c r="E31" t="s">
        <v>21</v>
      </c>
      <c r="F31">
        <v>55</v>
      </c>
      <c r="G31" t="s">
        <v>22</v>
      </c>
      <c r="H31" t="s">
        <v>71</v>
      </c>
      <c r="I31" t="s">
        <v>66</v>
      </c>
      <c r="J31" t="s">
        <v>72</v>
      </c>
      <c r="K31">
        <v>5</v>
      </c>
      <c r="L31" t="str">
        <f t="shared" si="0"/>
        <v>Valid</v>
      </c>
      <c r="M31" s="9">
        <v>728</v>
      </c>
      <c r="N31" s="9">
        <v>3</v>
      </c>
      <c r="O31" s="9">
        <v>12</v>
      </c>
      <c r="P31" t="s">
        <v>26</v>
      </c>
      <c r="Q31" t="s">
        <v>27</v>
      </c>
      <c r="R31" t="s">
        <v>28</v>
      </c>
      <c r="S31" t="str">
        <f t="shared" si="1"/>
        <v>OK</v>
      </c>
      <c r="T31">
        <v>5</v>
      </c>
      <c r="U31" t="str">
        <f t="shared" si="2"/>
        <v>OK</v>
      </c>
      <c r="V31" s="5">
        <v>3649</v>
      </c>
      <c r="W31" s="5">
        <f t="shared" si="3"/>
        <v>3649</v>
      </c>
      <c r="X31" t="str">
        <f t="shared" si="4"/>
        <v>Correct</v>
      </c>
    </row>
    <row r="32" spans="1:24" x14ac:dyDescent="0.3">
      <c r="A32" t="s">
        <v>132</v>
      </c>
      <c r="B32" s="3">
        <v>45773</v>
      </c>
      <c r="C32" t="s">
        <v>133</v>
      </c>
      <c r="D32" t="s">
        <v>75</v>
      </c>
      <c r="E32" t="s">
        <v>21</v>
      </c>
      <c r="F32">
        <v>34</v>
      </c>
      <c r="G32" t="s">
        <v>482</v>
      </c>
      <c r="H32" t="s">
        <v>41</v>
      </c>
      <c r="I32" t="s">
        <v>34</v>
      </c>
      <c r="J32" t="s">
        <v>67</v>
      </c>
      <c r="K32">
        <v>5</v>
      </c>
      <c r="L32" t="str">
        <f t="shared" si="0"/>
        <v>Valid</v>
      </c>
      <c r="M32" s="9">
        <v>1097</v>
      </c>
      <c r="N32" s="9">
        <v>14</v>
      </c>
      <c r="O32" s="9">
        <v>29</v>
      </c>
      <c r="P32" t="s">
        <v>49</v>
      </c>
      <c r="Q32" t="s">
        <v>134</v>
      </c>
      <c r="R32" t="s">
        <v>28</v>
      </c>
      <c r="S32" t="str">
        <f t="shared" si="1"/>
        <v>OK</v>
      </c>
      <c r="T32">
        <v>5</v>
      </c>
      <c r="U32" t="str">
        <f t="shared" si="2"/>
        <v>OK</v>
      </c>
      <c r="V32" s="5">
        <v>5500</v>
      </c>
      <c r="W32" s="5">
        <f t="shared" si="3"/>
        <v>5500</v>
      </c>
      <c r="X32" t="str">
        <f t="shared" si="4"/>
        <v>Correct</v>
      </c>
    </row>
    <row r="33" spans="1:24" x14ac:dyDescent="0.3">
      <c r="A33" t="s">
        <v>135</v>
      </c>
      <c r="B33" s="3">
        <v>45742</v>
      </c>
      <c r="C33" t="s">
        <v>136</v>
      </c>
      <c r="D33" t="s">
        <v>40</v>
      </c>
      <c r="E33" t="s">
        <v>31</v>
      </c>
      <c r="F33">
        <v>50</v>
      </c>
      <c r="G33" t="s">
        <v>481</v>
      </c>
      <c r="H33" t="s">
        <v>82</v>
      </c>
      <c r="I33" t="s">
        <v>54</v>
      </c>
      <c r="J33" t="s">
        <v>86</v>
      </c>
      <c r="K33">
        <v>6</v>
      </c>
      <c r="L33" t="str">
        <f t="shared" si="0"/>
        <v>Valid</v>
      </c>
      <c r="M33" s="9">
        <v>726</v>
      </c>
      <c r="N33" s="9">
        <v>79</v>
      </c>
      <c r="O33" s="9">
        <v>25</v>
      </c>
      <c r="P33" t="s">
        <v>26</v>
      </c>
      <c r="Q33" t="s">
        <v>134</v>
      </c>
      <c r="R33" t="s">
        <v>37</v>
      </c>
      <c r="S33" t="str">
        <f t="shared" si="1"/>
        <v>OK</v>
      </c>
      <c r="T33">
        <v>4</v>
      </c>
      <c r="U33" t="str">
        <f t="shared" si="2"/>
        <v>OK</v>
      </c>
      <c r="V33" s="5">
        <v>4302</v>
      </c>
      <c r="W33" s="5">
        <f t="shared" si="3"/>
        <v>4302</v>
      </c>
      <c r="X33" t="str">
        <f t="shared" si="4"/>
        <v>Correct</v>
      </c>
    </row>
    <row r="34" spans="1:24" x14ac:dyDescent="0.3">
      <c r="A34" t="s">
        <v>137</v>
      </c>
      <c r="B34" s="3">
        <v>45753</v>
      </c>
      <c r="C34" t="s">
        <v>138</v>
      </c>
      <c r="D34" t="s">
        <v>81</v>
      </c>
      <c r="E34" t="s">
        <v>31</v>
      </c>
      <c r="F34">
        <v>43</v>
      </c>
      <c r="G34" t="s">
        <v>32</v>
      </c>
      <c r="H34" t="s">
        <v>53</v>
      </c>
      <c r="I34" t="s">
        <v>34</v>
      </c>
      <c r="J34" t="s">
        <v>72</v>
      </c>
      <c r="K34">
        <v>4</v>
      </c>
      <c r="L34" t="str">
        <f t="shared" ref="L34:L65" si="5">IF(K34&lt;0,"Invalid","Valid")</f>
        <v>Valid</v>
      </c>
      <c r="M34" s="9">
        <v>1411</v>
      </c>
      <c r="N34" s="9">
        <v>48</v>
      </c>
      <c r="O34" s="9">
        <v>48</v>
      </c>
      <c r="P34" t="s">
        <v>78</v>
      </c>
      <c r="Q34" t="s">
        <v>27</v>
      </c>
      <c r="R34" t="s">
        <v>37</v>
      </c>
      <c r="S34" t="str">
        <f t="shared" ref="S34:S65" si="6">IF(AND(R34="Returned",V34&gt;0),"Check Return","OK")</f>
        <v>OK</v>
      </c>
      <c r="T34">
        <v>3</v>
      </c>
      <c r="U34" t="str">
        <f t="shared" ref="U34:U65" si="7">IF(T34&gt;5,"Invalid Rating","OK")</f>
        <v>OK</v>
      </c>
      <c r="V34" s="5">
        <v>5644</v>
      </c>
      <c r="W34" s="5">
        <f t="shared" ref="W34:W65" si="8">(K34*M34)-N34+O34</f>
        <v>5644</v>
      </c>
      <c r="X34" t="str">
        <f t="shared" ref="X34:X65" si="9">IF(V34=W34,"Correct","Mismatch")</f>
        <v>Correct</v>
      </c>
    </row>
    <row r="35" spans="1:24" x14ac:dyDescent="0.3">
      <c r="A35" t="s">
        <v>139</v>
      </c>
      <c r="B35" s="3">
        <v>45714</v>
      </c>
      <c r="C35" t="s">
        <v>140</v>
      </c>
      <c r="D35" t="s">
        <v>20</v>
      </c>
      <c r="E35" t="s">
        <v>21</v>
      </c>
      <c r="F35">
        <v>50</v>
      </c>
      <c r="G35" t="s">
        <v>32</v>
      </c>
      <c r="H35" t="s">
        <v>33</v>
      </c>
      <c r="I35" t="s">
        <v>54</v>
      </c>
      <c r="J35" t="s">
        <v>42</v>
      </c>
      <c r="K35">
        <v>6</v>
      </c>
      <c r="L35" t="str">
        <f t="shared" si="5"/>
        <v>Valid</v>
      </c>
      <c r="M35" s="9">
        <v>709</v>
      </c>
      <c r="N35" s="9">
        <v>59</v>
      </c>
      <c r="O35" s="9">
        <v>33</v>
      </c>
      <c r="P35" t="s">
        <v>26</v>
      </c>
      <c r="Q35" t="s">
        <v>56</v>
      </c>
      <c r="R35" t="s">
        <v>44</v>
      </c>
      <c r="S35" t="str">
        <f t="shared" si="6"/>
        <v>Check Return</v>
      </c>
      <c r="T35">
        <v>1</v>
      </c>
      <c r="U35" t="str">
        <f t="shared" si="7"/>
        <v>OK</v>
      </c>
      <c r="V35" s="5">
        <v>4228</v>
      </c>
      <c r="W35" s="5">
        <f t="shared" si="8"/>
        <v>4228</v>
      </c>
      <c r="X35" t="str">
        <f t="shared" si="9"/>
        <v>Correct</v>
      </c>
    </row>
    <row r="36" spans="1:24" x14ac:dyDescent="0.3">
      <c r="A36" t="s">
        <v>141</v>
      </c>
      <c r="B36" s="3">
        <v>45686</v>
      </c>
      <c r="C36" t="s">
        <v>142</v>
      </c>
      <c r="D36" t="s">
        <v>81</v>
      </c>
      <c r="E36" t="s">
        <v>21</v>
      </c>
      <c r="F36">
        <v>19</v>
      </c>
      <c r="G36" t="s">
        <v>482</v>
      </c>
      <c r="H36" t="s">
        <v>103</v>
      </c>
      <c r="I36" t="s">
        <v>24</v>
      </c>
      <c r="J36" t="s">
        <v>72</v>
      </c>
      <c r="K36">
        <v>1</v>
      </c>
      <c r="L36" t="str">
        <f t="shared" si="5"/>
        <v>Valid</v>
      </c>
      <c r="M36" s="9">
        <v>531</v>
      </c>
      <c r="N36" s="9">
        <v>86</v>
      </c>
      <c r="O36" s="9">
        <v>24</v>
      </c>
      <c r="P36" t="s">
        <v>49</v>
      </c>
      <c r="Q36" t="s">
        <v>56</v>
      </c>
      <c r="R36" t="s">
        <v>37</v>
      </c>
      <c r="S36" t="str">
        <f t="shared" si="6"/>
        <v>OK</v>
      </c>
      <c r="T36">
        <v>5</v>
      </c>
      <c r="U36" t="str">
        <f t="shared" si="7"/>
        <v>OK</v>
      </c>
      <c r="V36" s="5">
        <v>469</v>
      </c>
      <c r="W36" s="5">
        <f t="shared" si="8"/>
        <v>469</v>
      </c>
      <c r="X36" t="str">
        <f t="shared" si="9"/>
        <v>Correct</v>
      </c>
    </row>
    <row r="37" spans="1:24" x14ac:dyDescent="0.3">
      <c r="A37" t="s">
        <v>143</v>
      </c>
      <c r="B37" s="3">
        <v>45702</v>
      </c>
      <c r="C37" t="s">
        <v>144</v>
      </c>
      <c r="D37" t="s">
        <v>63</v>
      </c>
      <c r="E37" t="s">
        <v>31</v>
      </c>
      <c r="F37">
        <v>33</v>
      </c>
      <c r="G37" t="s">
        <v>32</v>
      </c>
      <c r="H37" t="s">
        <v>71</v>
      </c>
      <c r="I37" t="s">
        <v>34</v>
      </c>
      <c r="J37" t="s">
        <v>48</v>
      </c>
      <c r="K37">
        <v>5</v>
      </c>
      <c r="L37" t="str">
        <f t="shared" si="5"/>
        <v>Valid</v>
      </c>
      <c r="M37" s="9">
        <v>448</v>
      </c>
      <c r="N37" s="9">
        <v>91</v>
      </c>
      <c r="O37" s="9">
        <v>49</v>
      </c>
      <c r="P37" t="s">
        <v>49</v>
      </c>
      <c r="Q37" t="s">
        <v>27</v>
      </c>
      <c r="R37" t="s">
        <v>28</v>
      </c>
      <c r="S37" t="str">
        <f t="shared" si="6"/>
        <v>OK</v>
      </c>
      <c r="T37">
        <v>4</v>
      </c>
      <c r="U37" t="str">
        <f t="shared" si="7"/>
        <v>OK</v>
      </c>
      <c r="V37" s="5">
        <v>2198</v>
      </c>
      <c r="W37" s="5">
        <f t="shared" si="8"/>
        <v>2198</v>
      </c>
      <c r="X37" t="str">
        <f t="shared" si="9"/>
        <v>Correct</v>
      </c>
    </row>
    <row r="38" spans="1:24" x14ac:dyDescent="0.3">
      <c r="A38" t="s">
        <v>145</v>
      </c>
      <c r="B38" s="3">
        <v>45716</v>
      </c>
      <c r="C38" t="s">
        <v>146</v>
      </c>
      <c r="D38" t="s">
        <v>81</v>
      </c>
      <c r="E38" t="s">
        <v>31</v>
      </c>
      <c r="F38">
        <v>60</v>
      </c>
      <c r="G38" t="s">
        <v>32</v>
      </c>
      <c r="H38" t="s">
        <v>103</v>
      </c>
      <c r="I38" t="s">
        <v>66</v>
      </c>
      <c r="J38" t="s">
        <v>35</v>
      </c>
      <c r="K38">
        <v>1</v>
      </c>
      <c r="L38" t="str">
        <f t="shared" si="5"/>
        <v>Valid</v>
      </c>
      <c r="M38" s="9">
        <v>1191</v>
      </c>
      <c r="N38" s="9">
        <v>31</v>
      </c>
      <c r="O38" s="9">
        <v>12</v>
      </c>
      <c r="P38" t="s">
        <v>78</v>
      </c>
      <c r="Q38" t="s">
        <v>36</v>
      </c>
      <c r="R38" t="s">
        <v>44</v>
      </c>
      <c r="S38" t="str">
        <f t="shared" si="6"/>
        <v>Check Return</v>
      </c>
      <c r="T38">
        <v>3</v>
      </c>
      <c r="U38" t="str">
        <f t="shared" si="7"/>
        <v>OK</v>
      </c>
      <c r="V38" s="5">
        <v>1172</v>
      </c>
      <c r="W38" s="5">
        <f t="shared" si="8"/>
        <v>1172</v>
      </c>
      <c r="X38" t="str">
        <f t="shared" si="9"/>
        <v>Correct</v>
      </c>
    </row>
    <row r="39" spans="1:24" x14ac:dyDescent="0.3">
      <c r="A39" t="s">
        <v>147</v>
      </c>
      <c r="B39" s="3">
        <v>45715</v>
      </c>
      <c r="C39" t="s">
        <v>148</v>
      </c>
      <c r="D39" t="s">
        <v>52</v>
      </c>
      <c r="E39" t="s">
        <v>21</v>
      </c>
      <c r="F39">
        <v>58</v>
      </c>
      <c r="G39" t="s">
        <v>64</v>
      </c>
      <c r="H39" t="s">
        <v>103</v>
      </c>
      <c r="I39" t="s">
        <v>54</v>
      </c>
      <c r="J39" t="s">
        <v>77</v>
      </c>
      <c r="K39">
        <v>5</v>
      </c>
      <c r="L39" t="str">
        <f t="shared" si="5"/>
        <v>Valid</v>
      </c>
      <c r="M39" s="9">
        <v>963</v>
      </c>
      <c r="N39" s="9">
        <v>20</v>
      </c>
      <c r="O39" s="9">
        <v>35</v>
      </c>
      <c r="P39" t="s">
        <v>26</v>
      </c>
      <c r="Q39" t="s">
        <v>36</v>
      </c>
      <c r="R39" t="s">
        <v>37</v>
      </c>
      <c r="S39" t="str">
        <f t="shared" si="6"/>
        <v>OK</v>
      </c>
      <c r="T39">
        <v>2</v>
      </c>
      <c r="U39" t="str">
        <f t="shared" si="7"/>
        <v>OK</v>
      </c>
      <c r="V39" s="5">
        <v>4830</v>
      </c>
      <c r="W39" s="5">
        <f t="shared" si="8"/>
        <v>4830</v>
      </c>
      <c r="X39" t="str">
        <f t="shared" si="9"/>
        <v>Correct</v>
      </c>
    </row>
    <row r="40" spans="1:24" x14ac:dyDescent="0.3">
      <c r="A40" t="s">
        <v>149</v>
      </c>
      <c r="B40" s="3">
        <v>45698</v>
      </c>
      <c r="C40" t="s">
        <v>150</v>
      </c>
      <c r="D40" t="s">
        <v>75</v>
      </c>
      <c r="E40" t="s">
        <v>21</v>
      </c>
      <c r="F40">
        <v>26</v>
      </c>
      <c r="G40" t="s">
        <v>482</v>
      </c>
      <c r="H40" t="s">
        <v>151</v>
      </c>
      <c r="I40" t="s">
        <v>34</v>
      </c>
      <c r="J40" t="s">
        <v>100</v>
      </c>
      <c r="K40">
        <v>3</v>
      </c>
      <c r="L40" t="str">
        <f t="shared" si="5"/>
        <v>Valid</v>
      </c>
      <c r="M40" s="9">
        <v>530</v>
      </c>
      <c r="N40" s="9">
        <v>34</v>
      </c>
      <c r="O40" s="9">
        <v>26</v>
      </c>
      <c r="P40" t="s">
        <v>49</v>
      </c>
      <c r="Q40" t="s">
        <v>56</v>
      </c>
      <c r="R40" t="s">
        <v>37</v>
      </c>
      <c r="S40" t="str">
        <f t="shared" si="6"/>
        <v>OK</v>
      </c>
      <c r="T40">
        <v>2</v>
      </c>
      <c r="U40" t="str">
        <f t="shared" si="7"/>
        <v>OK</v>
      </c>
      <c r="V40" s="5">
        <v>1582</v>
      </c>
      <c r="W40" s="5">
        <f t="shared" si="8"/>
        <v>1582</v>
      </c>
      <c r="X40" t="str">
        <f t="shared" si="9"/>
        <v>Correct</v>
      </c>
    </row>
    <row r="41" spans="1:24" x14ac:dyDescent="0.3">
      <c r="A41" t="s">
        <v>152</v>
      </c>
      <c r="B41" s="3">
        <v>45665</v>
      </c>
      <c r="C41" t="s">
        <v>153</v>
      </c>
      <c r="D41" t="s">
        <v>81</v>
      </c>
      <c r="E41" t="s">
        <v>31</v>
      </c>
      <c r="F41">
        <v>42</v>
      </c>
      <c r="G41" t="s">
        <v>22</v>
      </c>
      <c r="H41" t="s">
        <v>99</v>
      </c>
      <c r="I41" t="s">
        <v>66</v>
      </c>
      <c r="J41" t="s">
        <v>154</v>
      </c>
      <c r="K41">
        <v>3</v>
      </c>
      <c r="L41" t="str">
        <f t="shared" si="5"/>
        <v>Valid</v>
      </c>
      <c r="M41" s="9">
        <v>1161</v>
      </c>
      <c r="N41" s="9">
        <v>59</v>
      </c>
      <c r="O41" s="9">
        <v>31</v>
      </c>
      <c r="P41" t="s">
        <v>78</v>
      </c>
      <c r="Q41" t="s">
        <v>27</v>
      </c>
      <c r="R41" t="s">
        <v>44</v>
      </c>
      <c r="S41" t="str">
        <f t="shared" si="6"/>
        <v>Check Return</v>
      </c>
      <c r="T41">
        <v>4</v>
      </c>
      <c r="U41" t="str">
        <f t="shared" si="7"/>
        <v>OK</v>
      </c>
      <c r="V41" s="5">
        <v>3455</v>
      </c>
      <c r="W41" s="5">
        <f t="shared" si="8"/>
        <v>3455</v>
      </c>
      <c r="X41" t="str">
        <f t="shared" si="9"/>
        <v>Correct</v>
      </c>
    </row>
    <row r="42" spans="1:24" x14ac:dyDescent="0.3">
      <c r="A42" t="s">
        <v>155</v>
      </c>
      <c r="B42" s="3">
        <v>45702</v>
      </c>
      <c r="C42" t="s">
        <v>156</v>
      </c>
      <c r="D42" t="s">
        <v>75</v>
      </c>
      <c r="E42" t="s">
        <v>21</v>
      </c>
      <c r="F42">
        <v>49</v>
      </c>
      <c r="G42" t="s">
        <v>22</v>
      </c>
      <c r="H42" t="s">
        <v>41</v>
      </c>
      <c r="I42" t="s">
        <v>24</v>
      </c>
      <c r="J42" t="s">
        <v>112</v>
      </c>
      <c r="K42">
        <v>4</v>
      </c>
      <c r="L42" t="str">
        <f t="shared" si="5"/>
        <v>Valid</v>
      </c>
      <c r="M42" s="9">
        <v>908</v>
      </c>
      <c r="N42" s="9">
        <v>68</v>
      </c>
      <c r="O42" s="9">
        <v>39</v>
      </c>
      <c r="P42" t="s">
        <v>49</v>
      </c>
      <c r="Q42" t="s">
        <v>43</v>
      </c>
      <c r="R42" t="s">
        <v>37</v>
      </c>
      <c r="S42" t="str">
        <f t="shared" si="6"/>
        <v>OK</v>
      </c>
      <c r="T42">
        <v>4</v>
      </c>
      <c r="U42" t="str">
        <f t="shared" si="7"/>
        <v>OK</v>
      </c>
      <c r="V42" s="5">
        <v>3603</v>
      </c>
      <c r="W42" s="5">
        <f t="shared" si="8"/>
        <v>3603</v>
      </c>
      <c r="X42" t="str">
        <f t="shared" si="9"/>
        <v>Correct</v>
      </c>
    </row>
    <row r="43" spans="1:24" x14ac:dyDescent="0.3">
      <c r="A43" t="s">
        <v>157</v>
      </c>
      <c r="B43" s="3">
        <v>45765</v>
      </c>
      <c r="C43" t="s">
        <v>158</v>
      </c>
      <c r="D43" t="s">
        <v>63</v>
      </c>
      <c r="E43" t="s">
        <v>21</v>
      </c>
      <c r="F43">
        <v>57</v>
      </c>
      <c r="G43" t="s">
        <v>482</v>
      </c>
      <c r="H43" t="s">
        <v>159</v>
      </c>
      <c r="I43" t="s">
        <v>24</v>
      </c>
      <c r="J43" t="s">
        <v>48</v>
      </c>
      <c r="K43">
        <v>6</v>
      </c>
      <c r="L43" t="str">
        <f t="shared" si="5"/>
        <v>Valid</v>
      </c>
      <c r="M43" s="9">
        <v>878</v>
      </c>
      <c r="N43" s="9">
        <v>92</v>
      </c>
      <c r="O43" s="9">
        <v>15</v>
      </c>
      <c r="P43" t="s">
        <v>78</v>
      </c>
      <c r="Q43" t="s">
        <v>27</v>
      </c>
      <c r="R43" t="s">
        <v>37</v>
      </c>
      <c r="S43" t="str">
        <f t="shared" si="6"/>
        <v>OK</v>
      </c>
      <c r="T43">
        <v>5</v>
      </c>
      <c r="U43" t="str">
        <f t="shared" si="7"/>
        <v>OK</v>
      </c>
      <c r="V43" s="5">
        <v>5191</v>
      </c>
      <c r="W43" s="5">
        <f t="shared" si="8"/>
        <v>5191</v>
      </c>
      <c r="X43" t="str">
        <f t="shared" si="9"/>
        <v>Correct</v>
      </c>
    </row>
    <row r="44" spans="1:24" x14ac:dyDescent="0.3">
      <c r="A44" t="s">
        <v>160</v>
      </c>
      <c r="B44" s="3">
        <v>45706</v>
      </c>
      <c r="C44" t="s">
        <v>161</v>
      </c>
      <c r="D44" t="s">
        <v>52</v>
      </c>
      <c r="E44" t="s">
        <v>21</v>
      </c>
      <c r="F44">
        <v>47</v>
      </c>
      <c r="G44" t="s">
        <v>64</v>
      </c>
      <c r="H44" t="s">
        <v>82</v>
      </c>
      <c r="I44" t="s">
        <v>66</v>
      </c>
      <c r="J44" t="s">
        <v>25</v>
      </c>
      <c r="K44">
        <v>4</v>
      </c>
      <c r="L44" t="str">
        <f t="shared" si="5"/>
        <v>Valid</v>
      </c>
      <c r="M44" s="9">
        <v>422</v>
      </c>
      <c r="N44" s="9">
        <v>6</v>
      </c>
      <c r="O44" s="9">
        <v>21</v>
      </c>
      <c r="P44" t="s">
        <v>26</v>
      </c>
      <c r="Q44" t="s">
        <v>43</v>
      </c>
      <c r="R44" t="s">
        <v>37</v>
      </c>
      <c r="S44" t="str">
        <f t="shared" si="6"/>
        <v>OK</v>
      </c>
      <c r="T44">
        <v>3</v>
      </c>
      <c r="U44" t="str">
        <f t="shared" si="7"/>
        <v>OK</v>
      </c>
      <c r="V44" s="5">
        <v>1703</v>
      </c>
      <c r="W44" s="5">
        <f t="shared" si="8"/>
        <v>1703</v>
      </c>
      <c r="X44" t="str">
        <f t="shared" si="9"/>
        <v>Correct</v>
      </c>
    </row>
    <row r="45" spans="1:24" x14ac:dyDescent="0.3">
      <c r="A45" t="s">
        <v>162</v>
      </c>
      <c r="B45" s="3">
        <v>45686</v>
      </c>
      <c r="C45" t="s">
        <v>163</v>
      </c>
      <c r="D45" t="s">
        <v>20</v>
      </c>
      <c r="E45" t="s">
        <v>21</v>
      </c>
      <c r="F45">
        <v>59</v>
      </c>
      <c r="G45" t="s">
        <v>481</v>
      </c>
      <c r="H45" t="s">
        <v>76</v>
      </c>
      <c r="I45" t="s">
        <v>24</v>
      </c>
      <c r="J45" t="s">
        <v>67</v>
      </c>
      <c r="K45">
        <v>1</v>
      </c>
      <c r="L45" t="str">
        <f t="shared" si="5"/>
        <v>Valid</v>
      </c>
      <c r="M45" s="9">
        <v>1154</v>
      </c>
      <c r="N45" s="9">
        <v>6</v>
      </c>
      <c r="O45" s="9">
        <v>27</v>
      </c>
      <c r="P45" t="s">
        <v>49</v>
      </c>
      <c r="Q45" t="s">
        <v>27</v>
      </c>
      <c r="R45" t="s">
        <v>28</v>
      </c>
      <c r="S45" t="str">
        <f t="shared" si="6"/>
        <v>OK</v>
      </c>
      <c r="T45">
        <v>2</v>
      </c>
      <c r="U45" t="str">
        <f t="shared" si="7"/>
        <v>OK</v>
      </c>
      <c r="V45" s="5">
        <v>1175</v>
      </c>
      <c r="W45" s="5">
        <f t="shared" si="8"/>
        <v>1175</v>
      </c>
      <c r="X45" t="str">
        <f t="shared" si="9"/>
        <v>Correct</v>
      </c>
    </row>
    <row r="46" spans="1:24" x14ac:dyDescent="0.3">
      <c r="A46" t="s">
        <v>164</v>
      </c>
      <c r="B46" s="3">
        <v>45730</v>
      </c>
      <c r="C46" t="s">
        <v>165</v>
      </c>
      <c r="D46" t="s">
        <v>81</v>
      </c>
      <c r="E46" t="s">
        <v>31</v>
      </c>
      <c r="F46">
        <v>34</v>
      </c>
      <c r="G46" t="s">
        <v>22</v>
      </c>
      <c r="H46" t="s">
        <v>53</v>
      </c>
      <c r="I46" t="s">
        <v>24</v>
      </c>
      <c r="J46" t="s">
        <v>60</v>
      </c>
      <c r="K46">
        <v>2</v>
      </c>
      <c r="L46" t="str">
        <f t="shared" si="5"/>
        <v>Valid</v>
      </c>
      <c r="M46" s="9">
        <v>1019</v>
      </c>
      <c r="N46" s="9">
        <v>85</v>
      </c>
      <c r="O46" s="9">
        <v>12</v>
      </c>
      <c r="P46" t="s">
        <v>26</v>
      </c>
      <c r="Q46" t="s">
        <v>56</v>
      </c>
      <c r="R46" t="s">
        <v>44</v>
      </c>
      <c r="S46" t="str">
        <f t="shared" si="6"/>
        <v>Check Return</v>
      </c>
      <c r="T46">
        <v>5</v>
      </c>
      <c r="U46" t="str">
        <f t="shared" si="7"/>
        <v>OK</v>
      </c>
      <c r="V46" s="5">
        <v>1965</v>
      </c>
      <c r="W46" s="5">
        <f t="shared" si="8"/>
        <v>1965</v>
      </c>
      <c r="X46" t="str">
        <f t="shared" si="9"/>
        <v>Correct</v>
      </c>
    </row>
    <row r="47" spans="1:24" x14ac:dyDescent="0.3">
      <c r="A47" t="s">
        <v>166</v>
      </c>
      <c r="B47" s="3">
        <v>45744</v>
      </c>
      <c r="C47" t="s">
        <v>167</v>
      </c>
      <c r="D47" t="s">
        <v>63</v>
      </c>
      <c r="E47" t="s">
        <v>31</v>
      </c>
      <c r="F47">
        <v>30</v>
      </c>
      <c r="G47" t="s">
        <v>32</v>
      </c>
      <c r="H47" t="s">
        <v>23</v>
      </c>
      <c r="I47" t="s">
        <v>24</v>
      </c>
      <c r="J47" t="s">
        <v>168</v>
      </c>
      <c r="K47">
        <v>5</v>
      </c>
      <c r="L47" t="str">
        <f t="shared" si="5"/>
        <v>Valid</v>
      </c>
      <c r="M47" s="9">
        <v>100</v>
      </c>
      <c r="N47" s="9">
        <v>39</v>
      </c>
      <c r="O47" s="9">
        <v>41</v>
      </c>
      <c r="P47" t="s">
        <v>49</v>
      </c>
      <c r="Q47" t="s">
        <v>36</v>
      </c>
      <c r="R47" t="s">
        <v>44</v>
      </c>
      <c r="S47" t="str">
        <f t="shared" si="6"/>
        <v>Check Return</v>
      </c>
      <c r="T47">
        <v>2</v>
      </c>
      <c r="U47" t="str">
        <f t="shared" si="7"/>
        <v>OK</v>
      </c>
      <c r="V47" s="5">
        <v>512</v>
      </c>
      <c r="W47" s="5">
        <f t="shared" si="8"/>
        <v>502</v>
      </c>
      <c r="X47" t="str">
        <f t="shared" si="9"/>
        <v>Mismatch</v>
      </c>
    </row>
    <row r="48" spans="1:24" x14ac:dyDescent="0.3">
      <c r="A48" t="s">
        <v>169</v>
      </c>
      <c r="B48" s="3">
        <v>45712</v>
      </c>
      <c r="C48" t="s">
        <v>170</v>
      </c>
      <c r="D48" t="s">
        <v>20</v>
      </c>
      <c r="E48" t="s">
        <v>31</v>
      </c>
      <c r="F48">
        <v>22</v>
      </c>
      <c r="G48" t="s">
        <v>482</v>
      </c>
      <c r="H48" t="s">
        <v>47</v>
      </c>
      <c r="I48" t="s">
        <v>66</v>
      </c>
      <c r="J48" t="s">
        <v>83</v>
      </c>
      <c r="K48">
        <v>5</v>
      </c>
      <c r="L48" t="str">
        <f t="shared" si="5"/>
        <v>Valid</v>
      </c>
      <c r="M48" s="9">
        <v>134</v>
      </c>
      <c r="N48" s="9">
        <v>44</v>
      </c>
      <c r="O48" s="9">
        <v>39</v>
      </c>
      <c r="P48" t="s">
        <v>78</v>
      </c>
      <c r="Q48" t="s">
        <v>43</v>
      </c>
      <c r="R48" t="s">
        <v>28</v>
      </c>
      <c r="S48" t="str">
        <f t="shared" si="6"/>
        <v>OK</v>
      </c>
      <c r="T48">
        <v>4</v>
      </c>
      <c r="U48" t="str">
        <f t="shared" si="7"/>
        <v>OK</v>
      </c>
      <c r="V48" s="5">
        <v>665</v>
      </c>
      <c r="W48" s="5">
        <f t="shared" si="8"/>
        <v>665</v>
      </c>
      <c r="X48" t="str">
        <f t="shared" si="9"/>
        <v>Correct</v>
      </c>
    </row>
    <row r="49" spans="1:24" x14ac:dyDescent="0.3">
      <c r="A49" t="s">
        <v>171</v>
      </c>
      <c r="B49" s="3">
        <v>45713</v>
      </c>
      <c r="C49" t="s">
        <v>172</v>
      </c>
      <c r="D49" t="s">
        <v>81</v>
      </c>
      <c r="E49" t="s">
        <v>31</v>
      </c>
      <c r="F49">
        <v>57</v>
      </c>
      <c r="G49" t="s">
        <v>481</v>
      </c>
      <c r="H49" t="s">
        <v>99</v>
      </c>
      <c r="I49" t="s">
        <v>54</v>
      </c>
      <c r="J49" t="s">
        <v>112</v>
      </c>
      <c r="K49">
        <v>6</v>
      </c>
      <c r="L49" t="str">
        <f t="shared" si="5"/>
        <v>Valid</v>
      </c>
      <c r="M49" s="9">
        <v>991</v>
      </c>
      <c r="N49" s="9">
        <v>90</v>
      </c>
      <c r="O49" s="9">
        <v>14</v>
      </c>
      <c r="P49" t="s">
        <v>78</v>
      </c>
      <c r="Q49" t="s">
        <v>134</v>
      </c>
      <c r="R49" t="s">
        <v>37</v>
      </c>
      <c r="S49" t="str">
        <f t="shared" si="6"/>
        <v>OK</v>
      </c>
      <c r="T49">
        <v>4</v>
      </c>
      <c r="U49" t="str">
        <f t="shared" si="7"/>
        <v>OK</v>
      </c>
      <c r="V49" s="5">
        <v>5870</v>
      </c>
      <c r="W49" s="5">
        <f t="shared" si="8"/>
        <v>5870</v>
      </c>
      <c r="X49" t="str">
        <f t="shared" si="9"/>
        <v>Correct</v>
      </c>
    </row>
    <row r="50" spans="1:24" x14ac:dyDescent="0.3">
      <c r="A50" t="s">
        <v>173</v>
      </c>
      <c r="B50" s="3">
        <v>45730</v>
      </c>
      <c r="C50" t="s">
        <v>174</v>
      </c>
      <c r="D50" t="s">
        <v>75</v>
      </c>
      <c r="E50" t="s">
        <v>31</v>
      </c>
      <c r="F50">
        <v>39</v>
      </c>
      <c r="G50" t="s">
        <v>22</v>
      </c>
      <c r="H50" t="s">
        <v>53</v>
      </c>
      <c r="I50" t="s">
        <v>66</v>
      </c>
      <c r="J50" t="s">
        <v>175</v>
      </c>
      <c r="K50">
        <v>3</v>
      </c>
      <c r="L50" t="str">
        <f t="shared" si="5"/>
        <v>Valid</v>
      </c>
      <c r="M50" s="9">
        <v>973</v>
      </c>
      <c r="N50" s="9">
        <v>31</v>
      </c>
      <c r="O50" s="9">
        <v>34</v>
      </c>
      <c r="P50" t="s">
        <v>49</v>
      </c>
      <c r="Q50" t="s">
        <v>134</v>
      </c>
      <c r="R50" t="s">
        <v>37</v>
      </c>
      <c r="S50" t="str">
        <f t="shared" si="6"/>
        <v>OK</v>
      </c>
      <c r="T50">
        <v>2</v>
      </c>
      <c r="U50" t="str">
        <f t="shared" si="7"/>
        <v>OK</v>
      </c>
      <c r="V50" s="5">
        <v>2922</v>
      </c>
      <c r="W50" s="5">
        <f t="shared" si="8"/>
        <v>2922</v>
      </c>
      <c r="X50" t="str">
        <f t="shared" si="9"/>
        <v>Correct</v>
      </c>
    </row>
    <row r="51" spans="1:24" x14ac:dyDescent="0.3">
      <c r="A51" t="s">
        <v>176</v>
      </c>
      <c r="B51" s="3">
        <v>45770</v>
      </c>
      <c r="C51" t="s">
        <v>177</v>
      </c>
      <c r="D51" t="s">
        <v>52</v>
      </c>
      <c r="E51" t="s">
        <v>21</v>
      </c>
      <c r="F51">
        <v>51</v>
      </c>
      <c r="G51" t="s">
        <v>481</v>
      </c>
      <c r="H51" t="s">
        <v>41</v>
      </c>
      <c r="I51" t="s">
        <v>66</v>
      </c>
      <c r="J51" t="s">
        <v>96</v>
      </c>
      <c r="K51">
        <v>3</v>
      </c>
      <c r="L51" t="str">
        <f t="shared" si="5"/>
        <v>Valid</v>
      </c>
      <c r="M51" s="9">
        <v>622</v>
      </c>
      <c r="N51" s="9">
        <v>76</v>
      </c>
      <c r="O51" s="9">
        <v>49</v>
      </c>
      <c r="P51" t="s">
        <v>49</v>
      </c>
      <c r="Q51" t="s">
        <v>27</v>
      </c>
      <c r="R51" t="s">
        <v>28</v>
      </c>
      <c r="S51" t="str">
        <f t="shared" si="6"/>
        <v>OK</v>
      </c>
      <c r="T51">
        <v>4</v>
      </c>
      <c r="U51" t="str">
        <f t="shared" si="7"/>
        <v>OK</v>
      </c>
      <c r="V51" s="5">
        <v>1839</v>
      </c>
      <c r="W51" s="5">
        <f t="shared" si="8"/>
        <v>1839</v>
      </c>
      <c r="X51" t="str">
        <f t="shared" si="9"/>
        <v>Correct</v>
      </c>
    </row>
    <row r="52" spans="1:24" x14ac:dyDescent="0.3">
      <c r="A52" t="s">
        <v>178</v>
      </c>
      <c r="B52" s="3">
        <v>45715</v>
      </c>
      <c r="C52" t="s">
        <v>179</v>
      </c>
      <c r="D52" t="s">
        <v>40</v>
      </c>
      <c r="E52" t="s">
        <v>21</v>
      </c>
      <c r="F52">
        <v>36</v>
      </c>
      <c r="G52" t="s">
        <v>22</v>
      </c>
      <c r="H52" t="s">
        <v>59</v>
      </c>
      <c r="I52" t="s">
        <v>54</v>
      </c>
      <c r="J52" t="s">
        <v>77</v>
      </c>
      <c r="K52">
        <v>4</v>
      </c>
      <c r="L52" t="str">
        <f t="shared" si="5"/>
        <v>Valid</v>
      </c>
      <c r="M52" s="9">
        <v>1372</v>
      </c>
      <c r="N52" s="9">
        <v>91</v>
      </c>
      <c r="O52" s="9">
        <v>36</v>
      </c>
      <c r="P52" t="s">
        <v>49</v>
      </c>
      <c r="Q52" t="s">
        <v>134</v>
      </c>
      <c r="R52" t="s">
        <v>44</v>
      </c>
      <c r="S52" t="str">
        <f t="shared" si="6"/>
        <v>Check Return</v>
      </c>
      <c r="T52">
        <v>2</v>
      </c>
      <c r="U52" t="str">
        <f t="shared" si="7"/>
        <v>OK</v>
      </c>
      <c r="V52" s="5">
        <v>999999</v>
      </c>
      <c r="W52" s="5">
        <f t="shared" si="8"/>
        <v>5433</v>
      </c>
      <c r="X52" t="str">
        <f t="shared" si="9"/>
        <v>Mismatch</v>
      </c>
    </row>
    <row r="53" spans="1:24" x14ac:dyDescent="0.3">
      <c r="A53" t="s">
        <v>180</v>
      </c>
      <c r="B53" s="3">
        <v>45753</v>
      </c>
      <c r="C53" t="s">
        <v>181</v>
      </c>
      <c r="D53" t="s">
        <v>75</v>
      </c>
      <c r="E53" t="s">
        <v>31</v>
      </c>
      <c r="F53">
        <v>40</v>
      </c>
      <c r="G53" t="s">
        <v>64</v>
      </c>
      <c r="H53" t="s">
        <v>41</v>
      </c>
      <c r="I53" t="s">
        <v>54</v>
      </c>
      <c r="J53" t="s">
        <v>72</v>
      </c>
      <c r="K53">
        <v>5</v>
      </c>
      <c r="L53" t="str">
        <f t="shared" si="5"/>
        <v>Valid</v>
      </c>
      <c r="M53" s="9">
        <v>1137</v>
      </c>
      <c r="N53" s="9">
        <v>44</v>
      </c>
      <c r="O53" s="9">
        <v>32</v>
      </c>
      <c r="P53" t="s">
        <v>78</v>
      </c>
      <c r="Q53" t="s">
        <v>134</v>
      </c>
      <c r="R53" t="s">
        <v>37</v>
      </c>
      <c r="S53" t="str">
        <f t="shared" si="6"/>
        <v>OK</v>
      </c>
      <c r="T53">
        <v>3</v>
      </c>
      <c r="U53" t="str">
        <f t="shared" si="7"/>
        <v>OK</v>
      </c>
      <c r="V53" s="5">
        <v>5673</v>
      </c>
      <c r="W53" s="5">
        <f t="shared" si="8"/>
        <v>5673</v>
      </c>
      <c r="X53" t="str">
        <f t="shared" si="9"/>
        <v>Correct</v>
      </c>
    </row>
    <row r="54" spans="1:24" x14ac:dyDescent="0.3">
      <c r="A54" t="s">
        <v>182</v>
      </c>
      <c r="B54" s="3">
        <v>45755</v>
      </c>
      <c r="C54" t="s">
        <v>183</v>
      </c>
      <c r="D54" t="s">
        <v>20</v>
      </c>
      <c r="E54" t="s">
        <v>21</v>
      </c>
      <c r="F54">
        <v>30</v>
      </c>
      <c r="G54" t="s">
        <v>481</v>
      </c>
      <c r="H54" t="s">
        <v>151</v>
      </c>
      <c r="I54" t="s">
        <v>54</v>
      </c>
      <c r="J54" t="s">
        <v>184</v>
      </c>
      <c r="K54">
        <v>2</v>
      </c>
      <c r="L54" t="str">
        <f t="shared" si="5"/>
        <v>Valid</v>
      </c>
      <c r="M54" s="9">
        <v>696</v>
      </c>
      <c r="N54" s="9">
        <v>15</v>
      </c>
      <c r="O54" s="9">
        <v>39</v>
      </c>
      <c r="P54" t="s">
        <v>49</v>
      </c>
      <c r="Q54" t="s">
        <v>134</v>
      </c>
      <c r="R54" t="s">
        <v>37</v>
      </c>
      <c r="S54" t="str">
        <f t="shared" si="6"/>
        <v>OK</v>
      </c>
      <c r="T54">
        <v>5</v>
      </c>
      <c r="U54" t="str">
        <f t="shared" si="7"/>
        <v>OK</v>
      </c>
      <c r="V54" s="5">
        <v>1416</v>
      </c>
      <c r="W54" s="5">
        <f t="shared" si="8"/>
        <v>1416</v>
      </c>
      <c r="X54" t="str">
        <f t="shared" si="9"/>
        <v>Correct</v>
      </c>
    </row>
    <row r="55" spans="1:24" x14ac:dyDescent="0.3">
      <c r="A55" t="s">
        <v>185</v>
      </c>
      <c r="B55" s="3">
        <v>45659</v>
      </c>
      <c r="C55" t="s">
        <v>186</v>
      </c>
      <c r="D55" t="s">
        <v>20</v>
      </c>
      <c r="E55" t="s">
        <v>21</v>
      </c>
      <c r="F55">
        <v>35</v>
      </c>
      <c r="G55" t="s">
        <v>64</v>
      </c>
      <c r="H55" t="s">
        <v>119</v>
      </c>
      <c r="I55" t="s">
        <v>34</v>
      </c>
      <c r="J55" t="s">
        <v>55</v>
      </c>
      <c r="K55">
        <v>2</v>
      </c>
      <c r="L55" t="str">
        <f t="shared" si="5"/>
        <v>Valid</v>
      </c>
      <c r="M55" s="9">
        <v>789</v>
      </c>
      <c r="N55" s="9">
        <v>22</v>
      </c>
      <c r="O55" s="9">
        <v>24</v>
      </c>
      <c r="P55" t="s">
        <v>49</v>
      </c>
      <c r="Q55" t="s">
        <v>27</v>
      </c>
      <c r="R55" t="s">
        <v>44</v>
      </c>
      <c r="S55" t="str">
        <f t="shared" si="6"/>
        <v>Check Return</v>
      </c>
      <c r="T55">
        <v>3</v>
      </c>
      <c r="U55" t="str">
        <f t="shared" si="7"/>
        <v>OK</v>
      </c>
      <c r="V55" s="5">
        <v>1580</v>
      </c>
      <c r="W55" s="5">
        <f t="shared" si="8"/>
        <v>1580</v>
      </c>
      <c r="X55" t="str">
        <f t="shared" si="9"/>
        <v>Correct</v>
      </c>
    </row>
    <row r="56" spans="1:24" x14ac:dyDescent="0.3">
      <c r="A56" t="s">
        <v>187</v>
      </c>
      <c r="B56" s="3">
        <v>45714</v>
      </c>
      <c r="C56" t="s">
        <v>188</v>
      </c>
      <c r="D56" t="s">
        <v>52</v>
      </c>
      <c r="E56" t="s">
        <v>21</v>
      </c>
      <c r="F56">
        <v>21</v>
      </c>
      <c r="G56" t="s">
        <v>64</v>
      </c>
      <c r="H56" t="s">
        <v>65</v>
      </c>
      <c r="I56" t="s">
        <v>66</v>
      </c>
      <c r="J56" t="s">
        <v>42</v>
      </c>
      <c r="K56">
        <v>5</v>
      </c>
      <c r="L56" t="str">
        <f t="shared" si="5"/>
        <v>Valid</v>
      </c>
      <c r="M56" s="9">
        <v>632</v>
      </c>
      <c r="N56" s="9">
        <v>60</v>
      </c>
      <c r="O56" s="9">
        <v>35</v>
      </c>
      <c r="P56" t="s">
        <v>26</v>
      </c>
      <c r="Q56" t="s">
        <v>134</v>
      </c>
      <c r="R56" t="s">
        <v>28</v>
      </c>
      <c r="S56" t="str">
        <f t="shared" si="6"/>
        <v>OK</v>
      </c>
      <c r="T56">
        <v>1</v>
      </c>
      <c r="U56" t="str">
        <f t="shared" si="7"/>
        <v>OK</v>
      </c>
      <c r="V56" s="5">
        <v>3135</v>
      </c>
      <c r="W56" s="5">
        <f t="shared" si="8"/>
        <v>3135</v>
      </c>
      <c r="X56" t="str">
        <f t="shared" si="9"/>
        <v>Correct</v>
      </c>
    </row>
    <row r="57" spans="1:24" x14ac:dyDescent="0.3">
      <c r="A57" t="s">
        <v>189</v>
      </c>
      <c r="B57" s="3">
        <v>45677</v>
      </c>
      <c r="C57" t="s">
        <v>190</v>
      </c>
      <c r="D57" t="s">
        <v>75</v>
      </c>
      <c r="E57" t="s">
        <v>31</v>
      </c>
      <c r="F57">
        <v>23</v>
      </c>
      <c r="G57" t="s">
        <v>482</v>
      </c>
      <c r="H57" t="s">
        <v>151</v>
      </c>
      <c r="I57" t="s">
        <v>34</v>
      </c>
      <c r="J57" t="s">
        <v>191</v>
      </c>
      <c r="K57">
        <v>6</v>
      </c>
      <c r="L57" t="str">
        <f t="shared" si="5"/>
        <v>Valid</v>
      </c>
      <c r="M57" s="9">
        <v>1455</v>
      </c>
      <c r="N57" s="9">
        <v>6</v>
      </c>
      <c r="O57" s="9">
        <v>14</v>
      </c>
      <c r="P57" t="s">
        <v>49</v>
      </c>
      <c r="Q57" t="s">
        <v>27</v>
      </c>
      <c r="R57" t="s">
        <v>44</v>
      </c>
      <c r="S57" t="str">
        <f t="shared" si="6"/>
        <v>Check Return</v>
      </c>
      <c r="T57">
        <v>7</v>
      </c>
      <c r="U57" t="str">
        <f t="shared" si="7"/>
        <v>Invalid Rating</v>
      </c>
      <c r="V57" s="5">
        <v>8738</v>
      </c>
      <c r="W57" s="5">
        <f t="shared" si="8"/>
        <v>8738</v>
      </c>
      <c r="X57" t="str">
        <f t="shared" si="9"/>
        <v>Correct</v>
      </c>
    </row>
    <row r="58" spans="1:24" x14ac:dyDescent="0.3">
      <c r="A58" t="s">
        <v>192</v>
      </c>
      <c r="B58" s="3">
        <v>45697</v>
      </c>
      <c r="C58" t="s">
        <v>193</v>
      </c>
      <c r="D58" t="s">
        <v>75</v>
      </c>
      <c r="E58" t="s">
        <v>21</v>
      </c>
      <c r="F58">
        <v>57</v>
      </c>
      <c r="G58" t="s">
        <v>481</v>
      </c>
      <c r="H58" t="s">
        <v>99</v>
      </c>
      <c r="I58" t="s">
        <v>54</v>
      </c>
      <c r="J58" t="s">
        <v>93</v>
      </c>
      <c r="K58">
        <v>4</v>
      </c>
      <c r="L58" t="str">
        <f t="shared" si="5"/>
        <v>Valid</v>
      </c>
      <c r="M58" s="9">
        <v>658</v>
      </c>
      <c r="N58" s="9">
        <v>75</v>
      </c>
      <c r="O58" s="9">
        <v>32</v>
      </c>
      <c r="P58" t="s">
        <v>78</v>
      </c>
      <c r="Q58" t="s">
        <v>27</v>
      </c>
      <c r="R58" t="s">
        <v>28</v>
      </c>
      <c r="S58" t="str">
        <f t="shared" si="6"/>
        <v>OK</v>
      </c>
      <c r="T58">
        <v>2</v>
      </c>
      <c r="U58" t="str">
        <f t="shared" si="7"/>
        <v>OK</v>
      </c>
      <c r="V58" s="5">
        <v>2589</v>
      </c>
      <c r="W58" s="5">
        <f t="shared" si="8"/>
        <v>2589</v>
      </c>
      <c r="X58" t="str">
        <f t="shared" si="9"/>
        <v>Correct</v>
      </c>
    </row>
    <row r="59" spans="1:24" x14ac:dyDescent="0.3">
      <c r="A59" t="s">
        <v>194</v>
      </c>
      <c r="B59" s="3">
        <v>45658</v>
      </c>
      <c r="C59" t="s">
        <v>195</v>
      </c>
      <c r="D59" t="s">
        <v>63</v>
      </c>
      <c r="E59" t="s">
        <v>31</v>
      </c>
      <c r="F59">
        <v>56</v>
      </c>
      <c r="G59" t="s">
        <v>482</v>
      </c>
      <c r="H59" t="s">
        <v>53</v>
      </c>
      <c r="I59" t="s">
        <v>54</v>
      </c>
      <c r="J59" t="s">
        <v>55</v>
      </c>
      <c r="K59">
        <v>2</v>
      </c>
      <c r="L59" t="str">
        <f t="shared" si="5"/>
        <v>Valid</v>
      </c>
      <c r="M59" s="9">
        <v>1180</v>
      </c>
      <c r="N59" s="9">
        <v>9</v>
      </c>
      <c r="O59" s="9">
        <v>15</v>
      </c>
      <c r="P59" t="s">
        <v>26</v>
      </c>
      <c r="Q59" t="s">
        <v>43</v>
      </c>
      <c r="R59" t="s">
        <v>28</v>
      </c>
      <c r="S59" t="str">
        <f t="shared" si="6"/>
        <v>OK</v>
      </c>
      <c r="T59">
        <v>2</v>
      </c>
      <c r="U59" t="str">
        <f t="shared" si="7"/>
        <v>OK</v>
      </c>
      <c r="V59" s="5">
        <v>2366</v>
      </c>
      <c r="W59" s="5">
        <f t="shared" si="8"/>
        <v>2366</v>
      </c>
      <c r="X59" t="str">
        <f t="shared" si="9"/>
        <v>Correct</v>
      </c>
    </row>
    <row r="60" spans="1:24" x14ac:dyDescent="0.3">
      <c r="A60" t="s">
        <v>196</v>
      </c>
      <c r="B60" s="3">
        <v>45733</v>
      </c>
      <c r="C60" t="s">
        <v>197</v>
      </c>
      <c r="D60" t="s">
        <v>20</v>
      </c>
      <c r="E60" t="s">
        <v>21</v>
      </c>
      <c r="F60">
        <v>45</v>
      </c>
      <c r="G60" t="s">
        <v>64</v>
      </c>
      <c r="H60" t="s">
        <v>82</v>
      </c>
      <c r="I60" t="s">
        <v>54</v>
      </c>
      <c r="J60" t="s">
        <v>175</v>
      </c>
      <c r="K60">
        <v>6</v>
      </c>
      <c r="L60" t="str">
        <f t="shared" si="5"/>
        <v>Valid</v>
      </c>
      <c r="M60" s="9">
        <v>528</v>
      </c>
      <c r="N60" s="9">
        <v>33</v>
      </c>
      <c r="O60" s="9">
        <v>45</v>
      </c>
      <c r="P60" t="s">
        <v>49</v>
      </c>
      <c r="Q60" t="s">
        <v>36</v>
      </c>
      <c r="R60" t="s">
        <v>28</v>
      </c>
      <c r="S60" t="str">
        <f t="shared" si="6"/>
        <v>OK</v>
      </c>
      <c r="T60">
        <v>2</v>
      </c>
      <c r="U60" t="str">
        <f t="shared" si="7"/>
        <v>OK</v>
      </c>
      <c r="V60" s="5">
        <v>3180</v>
      </c>
      <c r="W60" s="5">
        <f t="shared" si="8"/>
        <v>3180</v>
      </c>
      <c r="X60" t="str">
        <f t="shared" si="9"/>
        <v>Correct</v>
      </c>
    </row>
    <row r="61" spans="1:24" x14ac:dyDescent="0.3">
      <c r="A61" t="s">
        <v>198</v>
      </c>
      <c r="B61" s="3">
        <v>45775</v>
      </c>
      <c r="C61" t="s">
        <v>199</v>
      </c>
      <c r="D61" t="s">
        <v>52</v>
      </c>
      <c r="E61" t="s">
        <v>31</v>
      </c>
      <c r="F61">
        <v>25</v>
      </c>
      <c r="G61" t="s">
        <v>32</v>
      </c>
      <c r="H61" t="s">
        <v>65</v>
      </c>
      <c r="I61" t="s">
        <v>54</v>
      </c>
      <c r="J61" t="s">
        <v>184</v>
      </c>
      <c r="K61">
        <v>2</v>
      </c>
      <c r="L61" t="str">
        <f t="shared" si="5"/>
        <v>Valid</v>
      </c>
      <c r="M61" s="9">
        <v>679</v>
      </c>
      <c r="N61" s="9">
        <v>76</v>
      </c>
      <c r="O61" s="9">
        <v>41</v>
      </c>
      <c r="P61" t="s">
        <v>26</v>
      </c>
      <c r="Q61" t="s">
        <v>43</v>
      </c>
      <c r="R61" t="s">
        <v>44</v>
      </c>
      <c r="S61" t="str">
        <f t="shared" si="6"/>
        <v>Check Return</v>
      </c>
      <c r="T61">
        <v>4</v>
      </c>
      <c r="U61" t="str">
        <f t="shared" si="7"/>
        <v>OK</v>
      </c>
      <c r="V61" s="5">
        <v>1323</v>
      </c>
      <c r="W61" s="5">
        <f t="shared" si="8"/>
        <v>1323</v>
      </c>
      <c r="X61" t="str">
        <f t="shared" si="9"/>
        <v>Correct</v>
      </c>
    </row>
    <row r="62" spans="1:24" x14ac:dyDescent="0.3">
      <c r="A62" t="s">
        <v>200</v>
      </c>
      <c r="B62" s="3">
        <v>45771</v>
      </c>
      <c r="C62" t="s">
        <v>201</v>
      </c>
      <c r="D62" t="s">
        <v>63</v>
      </c>
      <c r="E62" t="s">
        <v>31</v>
      </c>
      <c r="F62">
        <v>56</v>
      </c>
      <c r="G62" t="s">
        <v>32</v>
      </c>
      <c r="H62" t="s">
        <v>103</v>
      </c>
      <c r="I62" t="s">
        <v>24</v>
      </c>
      <c r="J62" t="s">
        <v>72</v>
      </c>
      <c r="K62">
        <v>4</v>
      </c>
      <c r="L62" t="str">
        <f t="shared" si="5"/>
        <v>Valid</v>
      </c>
      <c r="M62" s="9">
        <v>214</v>
      </c>
      <c r="N62" s="9">
        <v>76</v>
      </c>
      <c r="O62" s="9">
        <v>7</v>
      </c>
      <c r="P62" t="s">
        <v>26</v>
      </c>
      <c r="Q62" t="s">
        <v>27</v>
      </c>
      <c r="R62" t="s">
        <v>44</v>
      </c>
      <c r="S62" t="str">
        <f t="shared" si="6"/>
        <v>Check Return</v>
      </c>
      <c r="T62">
        <v>2</v>
      </c>
      <c r="U62" t="str">
        <f t="shared" si="7"/>
        <v>OK</v>
      </c>
      <c r="V62" s="5">
        <v>4500</v>
      </c>
      <c r="W62" s="5">
        <f t="shared" si="8"/>
        <v>787</v>
      </c>
      <c r="X62" t="str">
        <f t="shared" si="9"/>
        <v>Mismatch</v>
      </c>
    </row>
    <row r="63" spans="1:24" x14ac:dyDescent="0.3">
      <c r="A63" t="s">
        <v>202</v>
      </c>
      <c r="B63" s="3">
        <v>45714</v>
      </c>
      <c r="C63" t="s">
        <v>203</v>
      </c>
      <c r="D63" t="s">
        <v>52</v>
      </c>
      <c r="E63" t="s">
        <v>21</v>
      </c>
      <c r="F63">
        <v>55</v>
      </c>
      <c r="G63" t="s">
        <v>22</v>
      </c>
      <c r="H63" t="s">
        <v>47</v>
      </c>
      <c r="I63" t="s">
        <v>54</v>
      </c>
      <c r="J63" t="s">
        <v>83</v>
      </c>
      <c r="K63">
        <v>2</v>
      </c>
      <c r="L63" t="str">
        <f t="shared" si="5"/>
        <v>Valid</v>
      </c>
      <c r="M63" s="9">
        <v>1013</v>
      </c>
      <c r="N63" s="9">
        <v>66</v>
      </c>
      <c r="O63" s="9">
        <v>46</v>
      </c>
      <c r="P63" t="s">
        <v>26</v>
      </c>
      <c r="Q63" t="s">
        <v>134</v>
      </c>
      <c r="R63" t="s">
        <v>28</v>
      </c>
      <c r="S63" t="str">
        <f t="shared" si="6"/>
        <v>OK</v>
      </c>
      <c r="T63">
        <v>4</v>
      </c>
      <c r="U63" t="str">
        <f t="shared" si="7"/>
        <v>OK</v>
      </c>
      <c r="V63" s="5">
        <v>2006</v>
      </c>
      <c r="W63" s="5">
        <f t="shared" si="8"/>
        <v>2006</v>
      </c>
      <c r="X63" t="str">
        <f t="shared" si="9"/>
        <v>Correct</v>
      </c>
    </row>
    <row r="64" spans="1:24" x14ac:dyDescent="0.3">
      <c r="A64" t="s">
        <v>204</v>
      </c>
      <c r="B64" s="3">
        <v>45710</v>
      </c>
      <c r="C64" t="s">
        <v>205</v>
      </c>
      <c r="D64" t="s">
        <v>20</v>
      </c>
      <c r="E64" t="s">
        <v>31</v>
      </c>
      <c r="F64">
        <v>36</v>
      </c>
      <c r="G64" t="s">
        <v>22</v>
      </c>
      <c r="H64" t="s">
        <v>41</v>
      </c>
      <c r="I64" t="s">
        <v>66</v>
      </c>
      <c r="J64" t="s">
        <v>100</v>
      </c>
      <c r="K64">
        <v>6</v>
      </c>
      <c r="L64" t="str">
        <f t="shared" si="5"/>
        <v>Valid</v>
      </c>
      <c r="M64" s="9">
        <v>264</v>
      </c>
      <c r="N64" s="9">
        <v>20</v>
      </c>
      <c r="O64" s="9">
        <v>26</v>
      </c>
      <c r="P64" t="s">
        <v>78</v>
      </c>
      <c r="Q64" t="s">
        <v>134</v>
      </c>
      <c r="R64" t="s">
        <v>44</v>
      </c>
      <c r="S64" t="str">
        <f t="shared" si="6"/>
        <v>Check Return</v>
      </c>
      <c r="T64">
        <v>1</v>
      </c>
      <c r="U64" t="str">
        <f t="shared" si="7"/>
        <v>OK</v>
      </c>
      <c r="V64" s="5">
        <v>1590</v>
      </c>
      <c r="W64" s="5">
        <f t="shared" si="8"/>
        <v>1590</v>
      </c>
      <c r="X64" t="str">
        <f t="shared" si="9"/>
        <v>Correct</v>
      </c>
    </row>
    <row r="65" spans="1:24" x14ac:dyDescent="0.3">
      <c r="A65" t="s">
        <v>206</v>
      </c>
      <c r="B65" s="3">
        <v>45768</v>
      </c>
      <c r="C65" t="s">
        <v>207</v>
      </c>
      <c r="D65" t="s">
        <v>75</v>
      </c>
      <c r="E65" t="s">
        <v>21</v>
      </c>
      <c r="F65">
        <v>60</v>
      </c>
      <c r="G65" t="s">
        <v>22</v>
      </c>
      <c r="H65" t="s">
        <v>41</v>
      </c>
      <c r="I65" t="s">
        <v>34</v>
      </c>
      <c r="J65" t="s">
        <v>112</v>
      </c>
      <c r="K65">
        <v>3</v>
      </c>
      <c r="L65" t="str">
        <f t="shared" si="5"/>
        <v>Valid</v>
      </c>
      <c r="M65" s="9">
        <v>287</v>
      </c>
      <c r="N65" s="9">
        <v>98</v>
      </c>
      <c r="O65" s="9">
        <v>30</v>
      </c>
      <c r="P65" t="s">
        <v>78</v>
      </c>
      <c r="Q65" t="s">
        <v>134</v>
      </c>
      <c r="R65" t="s">
        <v>37</v>
      </c>
      <c r="S65" t="str">
        <f t="shared" si="6"/>
        <v>OK</v>
      </c>
      <c r="T65">
        <v>1</v>
      </c>
      <c r="U65" t="str">
        <f t="shared" si="7"/>
        <v>OK</v>
      </c>
      <c r="V65" s="5">
        <v>793</v>
      </c>
      <c r="W65" s="5">
        <f t="shared" si="8"/>
        <v>793</v>
      </c>
      <c r="X65" t="str">
        <f t="shared" si="9"/>
        <v>Correct</v>
      </c>
    </row>
    <row r="66" spans="1:24" x14ac:dyDescent="0.3">
      <c r="A66" t="s">
        <v>208</v>
      </c>
      <c r="B66" s="3">
        <v>45684</v>
      </c>
      <c r="C66" t="s">
        <v>209</v>
      </c>
      <c r="D66" t="s">
        <v>52</v>
      </c>
      <c r="E66" t="s">
        <v>21</v>
      </c>
      <c r="F66">
        <v>36</v>
      </c>
      <c r="G66" t="s">
        <v>482</v>
      </c>
      <c r="H66" t="s">
        <v>159</v>
      </c>
      <c r="I66" t="s">
        <v>54</v>
      </c>
      <c r="J66" t="s">
        <v>93</v>
      </c>
      <c r="K66">
        <v>4</v>
      </c>
      <c r="L66" t="str">
        <f t="shared" ref="L66:L97" si="10">IF(K66&lt;0,"Invalid","Valid")</f>
        <v>Valid</v>
      </c>
      <c r="M66" s="9">
        <v>1330</v>
      </c>
      <c r="N66" s="9">
        <v>56</v>
      </c>
      <c r="O66" s="9">
        <v>8</v>
      </c>
      <c r="P66" t="s">
        <v>26</v>
      </c>
      <c r="Q66" t="s">
        <v>134</v>
      </c>
      <c r="R66" t="s">
        <v>28</v>
      </c>
      <c r="S66" t="str">
        <f t="shared" ref="S66:S97" si="11">IF(AND(R66="Returned",V66&gt;0),"Check Return","OK")</f>
        <v>OK</v>
      </c>
      <c r="T66">
        <v>1</v>
      </c>
      <c r="U66" t="str">
        <f t="shared" ref="U66:U97" si="12">IF(T66&gt;5,"Invalid Rating","OK")</f>
        <v>OK</v>
      </c>
      <c r="V66" s="5">
        <v>5272</v>
      </c>
      <c r="W66" s="5">
        <f t="shared" ref="W66:W97" si="13">(K66*M66)-N66+O66</f>
        <v>5272</v>
      </c>
      <c r="X66" t="str">
        <f t="shared" ref="X66:X97" si="14">IF(V66=W66,"Correct","Mismatch")</f>
        <v>Correct</v>
      </c>
    </row>
    <row r="67" spans="1:24" x14ac:dyDescent="0.3">
      <c r="A67" t="s">
        <v>210</v>
      </c>
      <c r="B67" s="3">
        <v>45707</v>
      </c>
      <c r="C67" t="s">
        <v>211</v>
      </c>
      <c r="D67" t="s">
        <v>81</v>
      </c>
      <c r="E67" t="s">
        <v>21</v>
      </c>
      <c r="F67">
        <v>22</v>
      </c>
      <c r="G67" t="s">
        <v>22</v>
      </c>
      <c r="H67" t="s">
        <v>99</v>
      </c>
      <c r="I67" t="s">
        <v>54</v>
      </c>
      <c r="J67" t="s">
        <v>100</v>
      </c>
      <c r="K67">
        <v>2</v>
      </c>
      <c r="L67" t="str">
        <f t="shared" si="10"/>
        <v>Valid</v>
      </c>
      <c r="M67" s="9">
        <v>985</v>
      </c>
      <c r="N67" s="9">
        <v>70</v>
      </c>
      <c r="O67" s="9">
        <v>14</v>
      </c>
      <c r="P67" t="s">
        <v>26</v>
      </c>
      <c r="Q67" t="s">
        <v>134</v>
      </c>
      <c r="R67" t="s">
        <v>37</v>
      </c>
      <c r="S67" t="str">
        <f t="shared" si="11"/>
        <v>OK</v>
      </c>
      <c r="T67">
        <v>5</v>
      </c>
      <c r="U67" t="str">
        <f t="shared" si="12"/>
        <v>OK</v>
      </c>
      <c r="V67" s="5">
        <v>1914</v>
      </c>
      <c r="W67" s="5">
        <f t="shared" si="13"/>
        <v>1914</v>
      </c>
      <c r="X67" t="str">
        <f t="shared" si="14"/>
        <v>Correct</v>
      </c>
    </row>
    <row r="68" spans="1:24" x14ac:dyDescent="0.3">
      <c r="A68" t="s">
        <v>212</v>
      </c>
      <c r="B68" s="3">
        <v>45720</v>
      </c>
      <c r="C68" t="s">
        <v>213</v>
      </c>
      <c r="D68" t="s">
        <v>81</v>
      </c>
      <c r="E68" t="s">
        <v>31</v>
      </c>
      <c r="F68">
        <v>52</v>
      </c>
      <c r="G68" t="s">
        <v>22</v>
      </c>
      <c r="H68" t="s">
        <v>159</v>
      </c>
      <c r="I68" t="s">
        <v>66</v>
      </c>
      <c r="J68" t="s">
        <v>55</v>
      </c>
      <c r="K68">
        <v>3</v>
      </c>
      <c r="L68" t="str">
        <f t="shared" si="10"/>
        <v>Valid</v>
      </c>
      <c r="M68" s="9">
        <v>1252</v>
      </c>
      <c r="N68" s="9">
        <v>74</v>
      </c>
      <c r="O68" s="9">
        <v>47</v>
      </c>
      <c r="P68" t="s">
        <v>26</v>
      </c>
      <c r="Q68" t="s">
        <v>43</v>
      </c>
      <c r="R68" t="s">
        <v>37</v>
      </c>
      <c r="S68" t="str">
        <f t="shared" si="11"/>
        <v>OK</v>
      </c>
      <c r="T68">
        <v>5</v>
      </c>
      <c r="U68" t="str">
        <f t="shared" si="12"/>
        <v>OK</v>
      </c>
      <c r="V68" s="5">
        <v>3729</v>
      </c>
      <c r="W68" s="5">
        <f t="shared" si="13"/>
        <v>3729</v>
      </c>
      <c r="X68" t="str">
        <f t="shared" si="14"/>
        <v>Correct</v>
      </c>
    </row>
    <row r="69" spans="1:24" x14ac:dyDescent="0.3">
      <c r="A69" t="s">
        <v>214</v>
      </c>
      <c r="B69" s="3">
        <v>45687</v>
      </c>
      <c r="C69" t="s">
        <v>215</v>
      </c>
      <c r="D69" t="s">
        <v>63</v>
      </c>
      <c r="E69" t="s">
        <v>21</v>
      </c>
      <c r="F69">
        <v>38</v>
      </c>
      <c r="G69" t="s">
        <v>482</v>
      </c>
      <c r="H69" t="s">
        <v>23</v>
      </c>
      <c r="I69" t="s">
        <v>66</v>
      </c>
      <c r="J69" t="s">
        <v>191</v>
      </c>
      <c r="K69">
        <v>6</v>
      </c>
      <c r="L69" t="str">
        <f t="shared" si="10"/>
        <v>Valid</v>
      </c>
      <c r="M69" s="9">
        <v>539</v>
      </c>
      <c r="N69" s="9">
        <v>73</v>
      </c>
      <c r="O69" s="9">
        <v>29</v>
      </c>
      <c r="P69" t="s">
        <v>78</v>
      </c>
      <c r="Q69" t="s">
        <v>134</v>
      </c>
      <c r="R69" t="s">
        <v>44</v>
      </c>
      <c r="S69" t="str">
        <f t="shared" si="11"/>
        <v>Check Return</v>
      </c>
      <c r="T69">
        <v>4</v>
      </c>
      <c r="U69" t="str">
        <f t="shared" si="12"/>
        <v>OK</v>
      </c>
      <c r="V69" s="5">
        <v>3190</v>
      </c>
      <c r="W69" s="5">
        <f t="shared" si="13"/>
        <v>3190</v>
      </c>
      <c r="X69" t="str">
        <f t="shared" si="14"/>
        <v>Correct</v>
      </c>
    </row>
    <row r="70" spans="1:24" x14ac:dyDescent="0.3">
      <c r="A70" t="s">
        <v>216</v>
      </c>
      <c r="B70" s="3">
        <v>45769</v>
      </c>
      <c r="C70" t="s">
        <v>217</v>
      </c>
      <c r="D70" t="s">
        <v>40</v>
      </c>
      <c r="E70" t="s">
        <v>31</v>
      </c>
      <c r="F70">
        <v>24</v>
      </c>
      <c r="G70" t="s">
        <v>482</v>
      </c>
      <c r="H70" t="s">
        <v>82</v>
      </c>
      <c r="I70" t="s">
        <v>66</v>
      </c>
      <c r="J70" t="s">
        <v>96</v>
      </c>
      <c r="K70">
        <v>2</v>
      </c>
      <c r="L70" t="str">
        <f t="shared" si="10"/>
        <v>Valid</v>
      </c>
      <c r="M70" s="9">
        <v>1078</v>
      </c>
      <c r="N70" s="9">
        <v>75</v>
      </c>
      <c r="O70" s="9">
        <v>26</v>
      </c>
      <c r="P70" t="s">
        <v>78</v>
      </c>
      <c r="Q70" t="s">
        <v>134</v>
      </c>
      <c r="R70" t="s">
        <v>28</v>
      </c>
      <c r="S70" t="str">
        <f t="shared" si="11"/>
        <v>OK</v>
      </c>
      <c r="T70">
        <v>2</v>
      </c>
      <c r="U70" t="str">
        <f t="shared" si="12"/>
        <v>OK</v>
      </c>
      <c r="V70" s="5">
        <v>2107</v>
      </c>
      <c r="W70" s="5">
        <f t="shared" si="13"/>
        <v>2107</v>
      </c>
      <c r="X70" t="str">
        <f t="shared" si="14"/>
        <v>Correct</v>
      </c>
    </row>
    <row r="71" spans="1:24" x14ac:dyDescent="0.3">
      <c r="A71" t="s">
        <v>218</v>
      </c>
      <c r="B71" s="3">
        <v>45708</v>
      </c>
      <c r="C71" t="s">
        <v>219</v>
      </c>
      <c r="D71" t="s">
        <v>20</v>
      </c>
      <c r="E71" t="s">
        <v>21</v>
      </c>
      <c r="F71">
        <v>39</v>
      </c>
      <c r="G71" t="s">
        <v>64</v>
      </c>
      <c r="H71" t="s">
        <v>76</v>
      </c>
      <c r="I71" t="s">
        <v>66</v>
      </c>
      <c r="J71" t="s">
        <v>96</v>
      </c>
      <c r="K71">
        <v>3</v>
      </c>
      <c r="L71" t="str">
        <f t="shared" si="10"/>
        <v>Valid</v>
      </c>
      <c r="M71" s="9">
        <v>743</v>
      </c>
      <c r="N71" s="9">
        <v>79</v>
      </c>
      <c r="O71" s="9">
        <v>49</v>
      </c>
      <c r="P71" t="s">
        <v>78</v>
      </c>
      <c r="Q71" t="s">
        <v>36</v>
      </c>
      <c r="R71" t="s">
        <v>37</v>
      </c>
      <c r="S71" t="str">
        <f t="shared" si="11"/>
        <v>OK</v>
      </c>
      <c r="T71">
        <v>3</v>
      </c>
      <c r="U71" t="str">
        <f t="shared" si="12"/>
        <v>OK</v>
      </c>
      <c r="V71" s="5">
        <v>2199</v>
      </c>
      <c r="W71" s="5">
        <f t="shared" si="13"/>
        <v>2199</v>
      </c>
      <c r="X71" t="str">
        <f t="shared" si="14"/>
        <v>Correct</v>
      </c>
    </row>
    <row r="72" spans="1:24" x14ac:dyDescent="0.3">
      <c r="A72" t="s">
        <v>220</v>
      </c>
      <c r="B72" s="3">
        <v>45775</v>
      </c>
      <c r="C72" t="s">
        <v>221</v>
      </c>
      <c r="D72" t="s">
        <v>52</v>
      </c>
      <c r="E72" t="s">
        <v>21</v>
      </c>
      <c r="F72">
        <v>23</v>
      </c>
      <c r="G72" t="s">
        <v>22</v>
      </c>
      <c r="H72" t="s">
        <v>151</v>
      </c>
      <c r="I72" t="s">
        <v>66</v>
      </c>
      <c r="J72" t="s">
        <v>77</v>
      </c>
      <c r="K72">
        <v>1</v>
      </c>
      <c r="L72" t="str">
        <f t="shared" si="10"/>
        <v>Valid</v>
      </c>
      <c r="M72" s="9">
        <v>530</v>
      </c>
      <c r="N72" s="9">
        <v>80</v>
      </c>
      <c r="O72" s="9">
        <v>48</v>
      </c>
      <c r="P72" t="s">
        <v>26</v>
      </c>
      <c r="Q72" t="s">
        <v>27</v>
      </c>
      <c r="R72" t="s">
        <v>44</v>
      </c>
      <c r="S72" t="str">
        <f t="shared" si="11"/>
        <v>Check Return</v>
      </c>
      <c r="T72">
        <v>1</v>
      </c>
      <c r="U72" t="str">
        <f t="shared" si="12"/>
        <v>OK</v>
      </c>
      <c r="V72" s="5">
        <v>498</v>
      </c>
      <c r="W72" s="5">
        <f t="shared" si="13"/>
        <v>498</v>
      </c>
      <c r="X72" t="str">
        <f t="shared" si="14"/>
        <v>Correct</v>
      </c>
    </row>
    <row r="73" spans="1:24" x14ac:dyDescent="0.3">
      <c r="A73" t="s">
        <v>222</v>
      </c>
      <c r="B73" s="3">
        <v>45703</v>
      </c>
      <c r="C73" t="s">
        <v>223</v>
      </c>
      <c r="D73" t="s">
        <v>52</v>
      </c>
      <c r="E73" t="s">
        <v>31</v>
      </c>
      <c r="F73">
        <v>27</v>
      </c>
      <c r="G73" t="s">
        <v>481</v>
      </c>
      <c r="H73" t="s">
        <v>23</v>
      </c>
      <c r="I73" t="s">
        <v>34</v>
      </c>
      <c r="J73" t="s">
        <v>96</v>
      </c>
      <c r="K73">
        <v>1</v>
      </c>
      <c r="L73" t="str">
        <f t="shared" si="10"/>
        <v>Valid</v>
      </c>
      <c r="M73" s="9">
        <v>714</v>
      </c>
      <c r="N73" s="9">
        <v>7</v>
      </c>
      <c r="O73" s="9">
        <v>23</v>
      </c>
      <c r="P73" t="s">
        <v>49</v>
      </c>
      <c r="Q73" t="s">
        <v>36</v>
      </c>
      <c r="R73" t="s">
        <v>37</v>
      </c>
      <c r="S73" t="str">
        <f t="shared" si="11"/>
        <v>OK</v>
      </c>
      <c r="T73">
        <v>5</v>
      </c>
      <c r="U73" t="str">
        <f t="shared" si="12"/>
        <v>OK</v>
      </c>
      <c r="V73" s="5">
        <v>730</v>
      </c>
      <c r="W73" s="5">
        <f t="shared" si="13"/>
        <v>730</v>
      </c>
      <c r="X73" t="str">
        <f t="shared" si="14"/>
        <v>Correct</v>
      </c>
    </row>
    <row r="74" spans="1:24" x14ac:dyDescent="0.3">
      <c r="A74" t="s">
        <v>224</v>
      </c>
      <c r="B74" s="3">
        <v>45688</v>
      </c>
      <c r="C74" t="s">
        <v>225</v>
      </c>
      <c r="D74" t="s">
        <v>63</v>
      </c>
      <c r="E74" t="s">
        <v>21</v>
      </c>
      <c r="F74">
        <v>32</v>
      </c>
      <c r="G74" t="s">
        <v>22</v>
      </c>
      <c r="H74" t="s">
        <v>53</v>
      </c>
      <c r="I74" t="s">
        <v>24</v>
      </c>
      <c r="J74" t="s">
        <v>35</v>
      </c>
      <c r="K74">
        <v>5</v>
      </c>
      <c r="L74" t="str">
        <f t="shared" si="10"/>
        <v>Valid</v>
      </c>
      <c r="M74" s="9">
        <v>833</v>
      </c>
      <c r="N74" s="9">
        <v>79</v>
      </c>
      <c r="O74" s="9">
        <v>48</v>
      </c>
      <c r="P74" t="s">
        <v>26</v>
      </c>
      <c r="Q74" t="s">
        <v>43</v>
      </c>
      <c r="R74" t="s">
        <v>37</v>
      </c>
      <c r="S74" t="str">
        <f t="shared" si="11"/>
        <v>OK</v>
      </c>
      <c r="T74">
        <v>3</v>
      </c>
      <c r="U74" t="str">
        <f t="shared" si="12"/>
        <v>OK</v>
      </c>
      <c r="V74" s="5">
        <v>4134</v>
      </c>
      <c r="W74" s="5">
        <f t="shared" si="13"/>
        <v>4134</v>
      </c>
      <c r="X74" t="str">
        <f t="shared" si="14"/>
        <v>Correct</v>
      </c>
    </row>
    <row r="75" spans="1:24" x14ac:dyDescent="0.3">
      <c r="A75" t="s">
        <v>226</v>
      </c>
      <c r="B75" s="3">
        <v>45778</v>
      </c>
      <c r="C75" t="s">
        <v>227</v>
      </c>
      <c r="D75" t="s">
        <v>52</v>
      </c>
      <c r="E75" t="s">
        <v>31</v>
      </c>
      <c r="F75">
        <v>58</v>
      </c>
      <c r="G75" t="s">
        <v>482</v>
      </c>
      <c r="H75" t="s">
        <v>159</v>
      </c>
      <c r="I75" t="s">
        <v>34</v>
      </c>
      <c r="J75" t="s">
        <v>48</v>
      </c>
      <c r="K75">
        <v>5</v>
      </c>
      <c r="L75" t="str">
        <f t="shared" si="10"/>
        <v>Valid</v>
      </c>
      <c r="M75" s="9">
        <v>373</v>
      </c>
      <c r="N75" s="9">
        <v>9</v>
      </c>
      <c r="O75" s="9">
        <v>33</v>
      </c>
      <c r="P75" t="s">
        <v>26</v>
      </c>
      <c r="Q75" t="s">
        <v>43</v>
      </c>
      <c r="R75" t="s">
        <v>37</v>
      </c>
      <c r="S75" t="str">
        <f t="shared" si="11"/>
        <v>OK</v>
      </c>
      <c r="T75">
        <v>3</v>
      </c>
      <c r="U75" t="str">
        <f t="shared" si="12"/>
        <v>OK</v>
      </c>
      <c r="V75" s="5">
        <v>1889</v>
      </c>
      <c r="W75" s="5">
        <f t="shared" si="13"/>
        <v>1889</v>
      </c>
      <c r="X75" t="str">
        <f t="shared" si="14"/>
        <v>Correct</v>
      </c>
    </row>
    <row r="76" spans="1:24" x14ac:dyDescent="0.3">
      <c r="A76" t="s">
        <v>228</v>
      </c>
      <c r="B76" s="3">
        <v>45731</v>
      </c>
      <c r="C76" t="s">
        <v>229</v>
      </c>
      <c r="D76" t="s">
        <v>52</v>
      </c>
      <c r="E76" t="s">
        <v>31</v>
      </c>
      <c r="F76">
        <v>19</v>
      </c>
      <c r="G76" t="s">
        <v>482</v>
      </c>
      <c r="H76" t="s">
        <v>82</v>
      </c>
      <c r="I76" t="s">
        <v>24</v>
      </c>
      <c r="J76" t="s">
        <v>230</v>
      </c>
      <c r="K76">
        <v>2</v>
      </c>
      <c r="L76" t="str">
        <f t="shared" si="10"/>
        <v>Valid</v>
      </c>
      <c r="M76" s="9">
        <v>831</v>
      </c>
      <c r="N76" s="9">
        <v>73</v>
      </c>
      <c r="O76" s="9">
        <v>27</v>
      </c>
      <c r="P76" t="s">
        <v>78</v>
      </c>
      <c r="Q76" t="s">
        <v>134</v>
      </c>
      <c r="R76" t="s">
        <v>37</v>
      </c>
      <c r="S76" t="str">
        <f t="shared" si="11"/>
        <v>OK</v>
      </c>
      <c r="T76">
        <v>1</v>
      </c>
      <c r="U76" t="str">
        <f t="shared" si="12"/>
        <v>OK</v>
      </c>
      <c r="V76" s="5">
        <v>1616</v>
      </c>
      <c r="W76" s="5">
        <f t="shared" si="13"/>
        <v>1616</v>
      </c>
      <c r="X76" t="str">
        <f t="shared" si="14"/>
        <v>Correct</v>
      </c>
    </row>
    <row r="77" spans="1:24" x14ac:dyDescent="0.3">
      <c r="A77" t="s">
        <v>231</v>
      </c>
      <c r="B77" s="3">
        <v>45739</v>
      </c>
      <c r="C77" t="s">
        <v>232</v>
      </c>
      <c r="D77" t="s">
        <v>81</v>
      </c>
      <c r="E77" t="s">
        <v>31</v>
      </c>
      <c r="F77">
        <v>60</v>
      </c>
      <c r="G77" t="s">
        <v>482</v>
      </c>
      <c r="H77" t="s">
        <v>99</v>
      </c>
      <c r="I77" t="s">
        <v>24</v>
      </c>
      <c r="J77" t="s">
        <v>60</v>
      </c>
      <c r="K77">
        <v>2</v>
      </c>
      <c r="L77" t="str">
        <f t="shared" si="10"/>
        <v>Valid</v>
      </c>
      <c r="M77" s="9">
        <v>1293</v>
      </c>
      <c r="N77" s="9">
        <v>45</v>
      </c>
      <c r="O77" s="9">
        <v>19</v>
      </c>
      <c r="P77" t="s">
        <v>78</v>
      </c>
      <c r="Q77" t="s">
        <v>56</v>
      </c>
      <c r="R77" t="s">
        <v>44</v>
      </c>
      <c r="S77" t="str">
        <f t="shared" si="11"/>
        <v>Check Return</v>
      </c>
      <c r="T77">
        <v>1</v>
      </c>
      <c r="U77" t="str">
        <f t="shared" si="12"/>
        <v>OK</v>
      </c>
      <c r="V77" s="5">
        <v>2560</v>
      </c>
      <c r="W77" s="5">
        <f t="shared" si="13"/>
        <v>2560</v>
      </c>
      <c r="X77" t="str">
        <f t="shared" si="14"/>
        <v>Correct</v>
      </c>
    </row>
    <row r="78" spans="1:24" x14ac:dyDescent="0.3">
      <c r="A78" t="s">
        <v>233</v>
      </c>
      <c r="B78" s="3">
        <v>45669</v>
      </c>
      <c r="C78" t="s">
        <v>234</v>
      </c>
      <c r="D78" t="s">
        <v>52</v>
      </c>
      <c r="E78" t="s">
        <v>31</v>
      </c>
      <c r="F78">
        <v>44</v>
      </c>
      <c r="G78" t="s">
        <v>32</v>
      </c>
      <c r="H78" t="s">
        <v>82</v>
      </c>
      <c r="I78" t="s">
        <v>54</v>
      </c>
      <c r="J78" t="s">
        <v>83</v>
      </c>
      <c r="K78">
        <v>5</v>
      </c>
      <c r="L78" t="str">
        <f t="shared" si="10"/>
        <v>Valid</v>
      </c>
      <c r="M78" s="9">
        <v>797</v>
      </c>
      <c r="N78" s="9">
        <v>93</v>
      </c>
      <c r="O78" s="9">
        <v>13</v>
      </c>
      <c r="P78" t="s">
        <v>49</v>
      </c>
      <c r="Q78" t="s">
        <v>56</v>
      </c>
      <c r="R78" t="s">
        <v>28</v>
      </c>
      <c r="S78" t="str">
        <f t="shared" si="11"/>
        <v>OK</v>
      </c>
      <c r="T78">
        <v>5</v>
      </c>
      <c r="U78" t="str">
        <f t="shared" si="12"/>
        <v>OK</v>
      </c>
      <c r="V78" s="5">
        <v>3905</v>
      </c>
      <c r="W78" s="5">
        <f t="shared" si="13"/>
        <v>3905</v>
      </c>
      <c r="X78" t="str">
        <f t="shared" si="14"/>
        <v>Correct</v>
      </c>
    </row>
    <row r="79" spans="1:24" x14ac:dyDescent="0.3">
      <c r="A79" t="s">
        <v>235</v>
      </c>
      <c r="B79" s="3">
        <v>45753</v>
      </c>
      <c r="C79" t="s">
        <v>236</v>
      </c>
      <c r="D79" t="s">
        <v>52</v>
      </c>
      <c r="E79" t="s">
        <v>21</v>
      </c>
      <c r="F79">
        <v>47</v>
      </c>
      <c r="G79" t="s">
        <v>482</v>
      </c>
      <c r="H79" t="s">
        <v>103</v>
      </c>
      <c r="I79" t="s">
        <v>54</v>
      </c>
      <c r="J79" t="s">
        <v>72</v>
      </c>
      <c r="K79">
        <v>2</v>
      </c>
      <c r="L79" t="str">
        <f t="shared" si="10"/>
        <v>Valid</v>
      </c>
      <c r="M79" s="9">
        <v>576</v>
      </c>
      <c r="N79" s="9">
        <v>61</v>
      </c>
      <c r="O79" s="9">
        <v>23</v>
      </c>
      <c r="P79" t="s">
        <v>49</v>
      </c>
      <c r="Q79" t="s">
        <v>56</v>
      </c>
      <c r="R79" t="s">
        <v>28</v>
      </c>
      <c r="S79" t="str">
        <f t="shared" si="11"/>
        <v>OK</v>
      </c>
      <c r="T79">
        <v>4</v>
      </c>
      <c r="U79" t="str">
        <f t="shared" si="12"/>
        <v>OK</v>
      </c>
      <c r="V79" s="5">
        <v>1114</v>
      </c>
      <c r="W79" s="5">
        <f t="shared" si="13"/>
        <v>1114</v>
      </c>
      <c r="X79" t="str">
        <f t="shared" si="14"/>
        <v>Correct</v>
      </c>
    </row>
    <row r="80" spans="1:24" x14ac:dyDescent="0.3">
      <c r="A80" t="s">
        <v>237</v>
      </c>
      <c r="B80" s="3">
        <v>45705</v>
      </c>
      <c r="C80" t="s">
        <v>238</v>
      </c>
      <c r="D80" t="s">
        <v>20</v>
      </c>
      <c r="E80" t="s">
        <v>31</v>
      </c>
      <c r="F80">
        <v>55</v>
      </c>
      <c r="G80" t="s">
        <v>32</v>
      </c>
      <c r="H80" t="s">
        <v>82</v>
      </c>
      <c r="I80" t="s">
        <v>66</v>
      </c>
      <c r="J80" t="s">
        <v>55</v>
      </c>
      <c r="K80">
        <v>3</v>
      </c>
      <c r="L80" t="str">
        <f t="shared" si="10"/>
        <v>Valid</v>
      </c>
      <c r="M80" s="9">
        <v>1148</v>
      </c>
      <c r="N80" s="9">
        <v>15</v>
      </c>
      <c r="O80" s="9">
        <v>34</v>
      </c>
      <c r="P80" t="s">
        <v>26</v>
      </c>
      <c r="Q80" t="s">
        <v>43</v>
      </c>
      <c r="R80" t="s">
        <v>28</v>
      </c>
      <c r="S80" t="str">
        <f t="shared" si="11"/>
        <v>OK</v>
      </c>
      <c r="T80">
        <v>2</v>
      </c>
      <c r="U80" t="str">
        <f t="shared" si="12"/>
        <v>OK</v>
      </c>
      <c r="V80" s="5">
        <v>3463</v>
      </c>
      <c r="W80" s="5">
        <f t="shared" si="13"/>
        <v>3463</v>
      </c>
      <c r="X80" t="str">
        <f t="shared" si="14"/>
        <v>Correct</v>
      </c>
    </row>
    <row r="81" spans="1:24" x14ac:dyDescent="0.3">
      <c r="A81" t="s">
        <v>239</v>
      </c>
      <c r="B81" s="3">
        <v>45666</v>
      </c>
      <c r="C81" t="s">
        <v>240</v>
      </c>
      <c r="D81" t="s">
        <v>20</v>
      </c>
      <c r="E81" t="s">
        <v>31</v>
      </c>
      <c r="F81">
        <v>37</v>
      </c>
      <c r="G81" t="s">
        <v>22</v>
      </c>
      <c r="H81" t="s">
        <v>33</v>
      </c>
      <c r="I81" t="s">
        <v>24</v>
      </c>
      <c r="J81" t="s">
        <v>112</v>
      </c>
      <c r="K81">
        <v>3</v>
      </c>
      <c r="L81" t="str">
        <f t="shared" si="10"/>
        <v>Valid</v>
      </c>
      <c r="M81" s="9">
        <v>1299</v>
      </c>
      <c r="N81" s="9">
        <v>28</v>
      </c>
      <c r="O81" s="9">
        <v>46</v>
      </c>
      <c r="P81" t="s">
        <v>78</v>
      </c>
      <c r="Q81" t="s">
        <v>134</v>
      </c>
      <c r="R81" t="s">
        <v>28</v>
      </c>
      <c r="S81" t="str">
        <f t="shared" si="11"/>
        <v>OK</v>
      </c>
      <c r="T81">
        <v>2</v>
      </c>
      <c r="U81" t="str">
        <f t="shared" si="12"/>
        <v>OK</v>
      </c>
      <c r="W81" s="5">
        <f t="shared" si="13"/>
        <v>3915</v>
      </c>
      <c r="X81" t="str">
        <f t="shared" si="14"/>
        <v>Mismatch</v>
      </c>
    </row>
    <row r="82" spans="1:24" x14ac:dyDescent="0.3">
      <c r="A82" t="s">
        <v>241</v>
      </c>
      <c r="B82" s="3">
        <v>45675</v>
      </c>
      <c r="C82" t="s">
        <v>242</v>
      </c>
      <c r="D82" t="s">
        <v>63</v>
      </c>
      <c r="E82" t="s">
        <v>31</v>
      </c>
      <c r="F82">
        <v>41</v>
      </c>
      <c r="G82" t="s">
        <v>64</v>
      </c>
      <c r="H82" t="s">
        <v>41</v>
      </c>
      <c r="I82" t="s">
        <v>34</v>
      </c>
      <c r="J82" t="s">
        <v>25</v>
      </c>
      <c r="K82">
        <v>1</v>
      </c>
      <c r="L82" t="str">
        <f t="shared" si="10"/>
        <v>Valid</v>
      </c>
      <c r="M82" s="9">
        <v>249</v>
      </c>
      <c r="N82" s="9">
        <v>30</v>
      </c>
      <c r="O82" s="9">
        <v>39</v>
      </c>
      <c r="P82" t="s">
        <v>78</v>
      </c>
      <c r="Q82" t="s">
        <v>36</v>
      </c>
      <c r="R82" t="s">
        <v>37</v>
      </c>
      <c r="S82" t="str">
        <f t="shared" si="11"/>
        <v>OK</v>
      </c>
      <c r="T82">
        <v>5</v>
      </c>
      <c r="U82" t="str">
        <f t="shared" si="12"/>
        <v>OK</v>
      </c>
      <c r="V82" s="5">
        <v>258</v>
      </c>
      <c r="W82" s="5">
        <f t="shared" si="13"/>
        <v>258</v>
      </c>
      <c r="X82" t="str">
        <f t="shared" si="14"/>
        <v>Correct</v>
      </c>
    </row>
    <row r="83" spans="1:24" x14ac:dyDescent="0.3">
      <c r="A83" t="s">
        <v>243</v>
      </c>
      <c r="B83" s="3">
        <v>45746</v>
      </c>
      <c r="C83" t="s">
        <v>244</v>
      </c>
      <c r="D83" t="s">
        <v>52</v>
      </c>
      <c r="E83" t="s">
        <v>21</v>
      </c>
      <c r="F83">
        <v>46</v>
      </c>
      <c r="G83" t="s">
        <v>22</v>
      </c>
      <c r="H83" t="s">
        <v>76</v>
      </c>
      <c r="I83" t="s">
        <v>54</v>
      </c>
      <c r="J83" t="s">
        <v>42</v>
      </c>
      <c r="K83">
        <v>5</v>
      </c>
      <c r="L83" t="str">
        <f t="shared" si="10"/>
        <v>Valid</v>
      </c>
      <c r="M83" s="9">
        <v>885</v>
      </c>
      <c r="N83" s="9">
        <v>35</v>
      </c>
      <c r="O83" s="9">
        <v>7</v>
      </c>
      <c r="P83" t="s">
        <v>26</v>
      </c>
      <c r="Q83" t="s">
        <v>56</v>
      </c>
      <c r="R83" t="s">
        <v>37</v>
      </c>
      <c r="S83" t="str">
        <f t="shared" si="11"/>
        <v>OK</v>
      </c>
      <c r="T83">
        <v>1</v>
      </c>
      <c r="U83" t="str">
        <f t="shared" si="12"/>
        <v>OK</v>
      </c>
      <c r="V83" s="5">
        <v>4397</v>
      </c>
      <c r="W83" s="5">
        <f t="shared" si="13"/>
        <v>4397</v>
      </c>
      <c r="X83" t="str">
        <f t="shared" si="14"/>
        <v>Correct</v>
      </c>
    </row>
    <row r="84" spans="1:24" x14ac:dyDescent="0.3">
      <c r="A84" t="s">
        <v>245</v>
      </c>
      <c r="B84" s="3">
        <v>45766</v>
      </c>
      <c r="C84" t="s">
        <v>246</v>
      </c>
      <c r="D84" t="s">
        <v>63</v>
      </c>
      <c r="E84" t="s">
        <v>21</v>
      </c>
      <c r="F84">
        <v>60</v>
      </c>
      <c r="G84" t="s">
        <v>481</v>
      </c>
      <c r="H84" t="s">
        <v>23</v>
      </c>
      <c r="I84" t="s">
        <v>54</v>
      </c>
      <c r="J84" t="s">
        <v>72</v>
      </c>
      <c r="K84">
        <v>4</v>
      </c>
      <c r="L84" t="str">
        <f t="shared" si="10"/>
        <v>Valid</v>
      </c>
      <c r="M84" s="9">
        <v>615</v>
      </c>
      <c r="N84" s="9">
        <v>24</v>
      </c>
      <c r="O84" s="9">
        <v>12</v>
      </c>
      <c r="P84" t="s">
        <v>49</v>
      </c>
      <c r="Q84" t="s">
        <v>36</v>
      </c>
      <c r="R84" t="s">
        <v>28</v>
      </c>
      <c r="S84" t="str">
        <f t="shared" si="11"/>
        <v>OK</v>
      </c>
      <c r="T84">
        <v>1</v>
      </c>
      <c r="U84" t="str">
        <f t="shared" si="12"/>
        <v>OK</v>
      </c>
      <c r="V84" s="5">
        <v>2448</v>
      </c>
      <c r="W84" s="5">
        <f t="shared" si="13"/>
        <v>2448</v>
      </c>
      <c r="X84" t="str">
        <f t="shared" si="14"/>
        <v>Correct</v>
      </c>
    </row>
    <row r="85" spans="1:24" x14ac:dyDescent="0.3">
      <c r="A85" t="s">
        <v>247</v>
      </c>
      <c r="B85" s="3">
        <v>45684</v>
      </c>
      <c r="C85" t="s">
        <v>248</v>
      </c>
      <c r="D85" t="s">
        <v>75</v>
      </c>
      <c r="E85" t="s">
        <v>21</v>
      </c>
      <c r="F85">
        <v>32</v>
      </c>
      <c r="G85" t="s">
        <v>481</v>
      </c>
      <c r="H85" t="s">
        <v>59</v>
      </c>
      <c r="I85" t="s">
        <v>54</v>
      </c>
      <c r="J85" t="s">
        <v>184</v>
      </c>
      <c r="K85">
        <v>2</v>
      </c>
      <c r="L85" t="str">
        <f t="shared" si="10"/>
        <v>Valid</v>
      </c>
      <c r="M85" s="9">
        <v>190</v>
      </c>
      <c r="N85" s="9">
        <v>97</v>
      </c>
      <c r="O85" s="9">
        <v>40</v>
      </c>
      <c r="P85" t="s">
        <v>26</v>
      </c>
      <c r="Q85" t="s">
        <v>56</v>
      </c>
      <c r="R85" t="s">
        <v>44</v>
      </c>
      <c r="S85" t="str">
        <f t="shared" si="11"/>
        <v>Check Return</v>
      </c>
      <c r="T85">
        <v>1</v>
      </c>
      <c r="U85" t="str">
        <f t="shared" si="12"/>
        <v>OK</v>
      </c>
      <c r="V85" s="5">
        <v>323</v>
      </c>
      <c r="W85" s="5">
        <f t="shared" si="13"/>
        <v>323</v>
      </c>
      <c r="X85" t="str">
        <f t="shared" si="14"/>
        <v>Correct</v>
      </c>
    </row>
    <row r="86" spans="1:24" x14ac:dyDescent="0.3">
      <c r="A86" t="s">
        <v>249</v>
      </c>
      <c r="B86" s="3">
        <v>45753</v>
      </c>
      <c r="C86" t="s">
        <v>250</v>
      </c>
      <c r="D86" t="s">
        <v>40</v>
      </c>
      <c r="E86" t="s">
        <v>21</v>
      </c>
      <c r="F86">
        <v>18</v>
      </c>
      <c r="G86" t="s">
        <v>22</v>
      </c>
      <c r="H86" t="s">
        <v>59</v>
      </c>
      <c r="I86" t="s">
        <v>24</v>
      </c>
      <c r="J86" t="s">
        <v>184</v>
      </c>
      <c r="K86">
        <v>3</v>
      </c>
      <c r="L86" t="str">
        <f t="shared" si="10"/>
        <v>Valid</v>
      </c>
      <c r="M86" s="9">
        <v>407</v>
      </c>
      <c r="N86" s="9">
        <v>14</v>
      </c>
      <c r="O86" s="9">
        <v>47</v>
      </c>
      <c r="P86" t="s">
        <v>26</v>
      </c>
      <c r="Q86" t="s">
        <v>56</v>
      </c>
      <c r="R86" t="s">
        <v>44</v>
      </c>
      <c r="S86" t="str">
        <f t="shared" si="11"/>
        <v>Check Return</v>
      </c>
      <c r="T86">
        <v>3</v>
      </c>
      <c r="U86" t="str">
        <f t="shared" si="12"/>
        <v>OK</v>
      </c>
      <c r="V86" s="5">
        <v>1254</v>
      </c>
      <c r="W86" s="5">
        <f t="shared" si="13"/>
        <v>1254</v>
      </c>
      <c r="X86" t="str">
        <f t="shared" si="14"/>
        <v>Correct</v>
      </c>
    </row>
    <row r="87" spans="1:24" x14ac:dyDescent="0.3">
      <c r="A87" t="s">
        <v>251</v>
      </c>
      <c r="B87" s="3">
        <v>45753</v>
      </c>
      <c r="C87" t="s">
        <v>252</v>
      </c>
      <c r="D87" t="s">
        <v>40</v>
      </c>
      <c r="E87" t="s">
        <v>31</v>
      </c>
      <c r="F87">
        <v>46</v>
      </c>
      <c r="G87" t="s">
        <v>481</v>
      </c>
      <c r="H87" t="s">
        <v>23</v>
      </c>
      <c r="I87" t="s">
        <v>66</v>
      </c>
      <c r="J87" t="s">
        <v>168</v>
      </c>
      <c r="K87">
        <v>2</v>
      </c>
      <c r="L87" t="str">
        <f t="shared" si="10"/>
        <v>Valid</v>
      </c>
      <c r="M87" s="9">
        <v>912</v>
      </c>
      <c r="N87" s="9">
        <v>67</v>
      </c>
      <c r="O87" s="9">
        <v>12</v>
      </c>
      <c r="P87" t="s">
        <v>26</v>
      </c>
      <c r="Q87" t="s">
        <v>36</v>
      </c>
      <c r="R87" t="s">
        <v>44</v>
      </c>
      <c r="S87" t="str">
        <f t="shared" si="11"/>
        <v>Check Return</v>
      </c>
      <c r="T87">
        <v>1</v>
      </c>
      <c r="U87" t="str">
        <f t="shared" si="12"/>
        <v>OK</v>
      </c>
      <c r="V87" s="5">
        <v>1769</v>
      </c>
      <c r="W87" s="5">
        <f t="shared" si="13"/>
        <v>1769</v>
      </c>
      <c r="X87" t="str">
        <f t="shared" si="14"/>
        <v>Correct</v>
      </c>
    </row>
    <row r="88" spans="1:24" x14ac:dyDescent="0.3">
      <c r="A88" t="s">
        <v>253</v>
      </c>
      <c r="B88" s="3">
        <v>45716</v>
      </c>
      <c r="C88" t="s">
        <v>254</v>
      </c>
      <c r="D88" t="s">
        <v>20</v>
      </c>
      <c r="E88" t="s">
        <v>21</v>
      </c>
      <c r="F88">
        <v>21</v>
      </c>
      <c r="G88" t="s">
        <v>64</v>
      </c>
      <c r="H88" t="s">
        <v>59</v>
      </c>
      <c r="I88" t="s">
        <v>66</v>
      </c>
      <c r="J88" t="s">
        <v>77</v>
      </c>
      <c r="K88">
        <v>1</v>
      </c>
      <c r="L88" t="str">
        <f t="shared" si="10"/>
        <v>Valid</v>
      </c>
      <c r="M88" s="9">
        <v>1399</v>
      </c>
      <c r="N88" s="9">
        <v>66</v>
      </c>
      <c r="O88" s="9">
        <v>24</v>
      </c>
      <c r="P88" t="s">
        <v>26</v>
      </c>
      <c r="Q88" t="s">
        <v>134</v>
      </c>
      <c r="R88" t="s">
        <v>37</v>
      </c>
      <c r="S88" t="str">
        <f t="shared" si="11"/>
        <v>OK</v>
      </c>
      <c r="T88">
        <v>1</v>
      </c>
      <c r="U88" t="str">
        <f t="shared" si="12"/>
        <v>OK</v>
      </c>
      <c r="V88" s="5">
        <v>1357</v>
      </c>
      <c r="W88" s="5">
        <f t="shared" si="13"/>
        <v>1357</v>
      </c>
      <c r="X88" t="str">
        <f t="shared" si="14"/>
        <v>Correct</v>
      </c>
    </row>
    <row r="89" spans="1:24" x14ac:dyDescent="0.3">
      <c r="A89" t="s">
        <v>255</v>
      </c>
      <c r="B89" s="3">
        <v>45674</v>
      </c>
      <c r="C89" t="s">
        <v>256</v>
      </c>
      <c r="D89" t="s">
        <v>52</v>
      </c>
      <c r="E89" t="s">
        <v>31</v>
      </c>
      <c r="F89">
        <v>42</v>
      </c>
      <c r="G89" t="s">
        <v>64</v>
      </c>
      <c r="H89" t="s">
        <v>65</v>
      </c>
      <c r="I89" t="s">
        <v>66</v>
      </c>
      <c r="J89" t="s">
        <v>191</v>
      </c>
      <c r="K89">
        <v>3</v>
      </c>
      <c r="L89" t="str">
        <f t="shared" si="10"/>
        <v>Valid</v>
      </c>
      <c r="M89" s="9">
        <v>1295</v>
      </c>
      <c r="N89" s="9">
        <v>18</v>
      </c>
      <c r="O89" s="9">
        <v>9</v>
      </c>
      <c r="P89" t="s">
        <v>78</v>
      </c>
      <c r="Q89" t="s">
        <v>36</v>
      </c>
      <c r="R89" t="s">
        <v>37</v>
      </c>
      <c r="S89" t="str">
        <f t="shared" si="11"/>
        <v>OK</v>
      </c>
      <c r="T89">
        <v>4</v>
      </c>
      <c r="U89" t="str">
        <f t="shared" si="12"/>
        <v>OK</v>
      </c>
      <c r="V89" s="5">
        <v>3876</v>
      </c>
      <c r="W89" s="5">
        <f t="shared" si="13"/>
        <v>3876</v>
      </c>
      <c r="X89" t="str">
        <f t="shared" si="14"/>
        <v>Correct</v>
      </c>
    </row>
    <row r="90" spans="1:24" x14ac:dyDescent="0.3">
      <c r="A90" t="s">
        <v>257</v>
      </c>
      <c r="B90" s="3">
        <v>45713</v>
      </c>
      <c r="C90" t="s">
        <v>258</v>
      </c>
      <c r="D90" t="s">
        <v>63</v>
      </c>
      <c r="E90" t="s">
        <v>21</v>
      </c>
      <c r="F90">
        <v>44</v>
      </c>
      <c r="G90" t="s">
        <v>482</v>
      </c>
      <c r="H90" t="s">
        <v>151</v>
      </c>
      <c r="I90" t="s">
        <v>24</v>
      </c>
      <c r="J90" t="s">
        <v>112</v>
      </c>
      <c r="K90">
        <v>6</v>
      </c>
      <c r="L90" t="str">
        <f t="shared" si="10"/>
        <v>Valid</v>
      </c>
      <c r="M90" s="9">
        <v>1179</v>
      </c>
      <c r="N90" s="9">
        <v>92</v>
      </c>
      <c r="O90" s="9">
        <v>18</v>
      </c>
      <c r="P90" t="s">
        <v>26</v>
      </c>
      <c r="Q90" t="s">
        <v>134</v>
      </c>
      <c r="R90" t="s">
        <v>37</v>
      </c>
      <c r="S90" t="str">
        <f t="shared" si="11"/>
        <v>OK</v>
      </c>
      <c r="T90">
        <v>4</v>
      </c>
      <c r="U90" t="str">
        <f t="shared" si="12"/>
        <v>OK</v>
      </c>
      <c r="V90" s="5">
        <v>7000</v>
      </c>
      <c r="W90" s="5">
        <f t="shared" si="13"/>
        <v>7000</v>
      </c>
      <c r="X90" t="str">
        <f t="shared" si="14"/>
        <v>Correct</v>
      </c>
    </row>
    <row r="91" spans="1:24" x14ac:dyDescent="0.3">
      <c r="A91" t="s">
        <v>259</v>
      </c>
      <c r="B91" s="3">
        <v>45745</v>
      </c>
      <c r="C91" t="s">
        <v>260</v>
      </c>
      <c r="D91" t="s">
        <v>261</v>
      </c>
      <c r="E91" t="s">
        <v>21</v>
      </c>
      <c r="F91">
        <v>23</v>
      </c>
      <c r="G91" t="s">
        <v>32</v>
      </c>
      <c r="H91" t="s">
        <v>99</v>
      </c>
      <c r="I91" t="s">
        <v>54</v>
      </c>
      <c r="J91" t="s">
        <v>83</v>
      </c>
      <c r="K91">
        <v>6</v>
      </c>
      <c r="L91" t="str">
        <f t="shared" si="10"/>
        <v>Valid</v>
      </c>
      <c r="M91" s="9">
        <v>572</v>
      </c>
      <c r="N91" s="9">
        <v>47</v>
      </c>
      <c r="O91" s="9">
        <v>14</v>
      </c>
      <c r="P91" t="s">
        <v>49</v>
      </c>
      <c r="Q91" t="s">
        <v>27</v>
      </c>
      <c r="R91" t="s">
        <v>37</v>
      </c>
      <c r="S91" t="str">
        <f t="shared" si="11"/>
        <v>OK</v>
      </c>
      <c r="T91">
        <v>1</v>
      </c>
      <c r="U91" t="str">
        <f t="shared" si="12"/>
        <v>OK</v>
      </c>
      <c r="V91" s="5">
        <v>3399</v>
      </c>
      <c r="W91" s="5">
        <f t="shared" si="13"/>
        <v>3399</v>
      </c>
      <c r="X91" t="str">
        <f t="shared" si="14"/>
        <v>Correct</v>
      </c>
    </row>
    <row r="92" spans="1:24" x14ac:dyDescent="0.3">
      <c r="A92" t="s">
        <v>262</v>
      </c>
      <c r="B92" s="3">
        <v>45743</v>
      </c>
      <c r="C92" t="s">
        <v>263</v>
      </c>
      <c r="D92" t="s">
        <v>40</v>
      </c>
      <c r="E92" t="s">
        <v>31</v>
      </c>
      <c r="F92">
        <v>40</v>
      </c>
      <c r="G92" t="s">
        <v>22</v>
      </c>
      <c r="H92" t="s">
        <v>47</v>
      </c>
      <c r="I92" t="s">
        <v>54</v>
      </c>
      <c r="J92" t="s">
        <v>184</v>
      </c>
      <c r="K92">
        <v>5</v>
      </c>
      <c r="L92" t="str">
        <f t="shared" si="10"/>
        <v>Valid</v>
      </c>
      <c r="M92" s="9">
        <v>1200</v>
      </c>
      <c r="N92" s="9">
        <v>71</v>
      </c>
      <c r="O92" s="9">
        <v>26</v>
      </c>
      <c r="P92" t="s">
        <v>78</v>
      </c>
      <c r="Q92" t="s">
        <v>134</v>
      </c>
      <c r="R92" t="s">
        <v>44</v>
      </c>
      <c r="S92" t="str">
        <f t="shared" si="11"/>
        <v>Check Return</v>
      </c>
      <c r="T92">
        <v>1</v>
      </c>
      <c r="U92" t="str">
        <f t="shared" si="12"/>
        <v>OK</v>
      </c>
      <c r="V92" s="5">
        <v>5955</v>
      </c>
      <c r="W92" s="5">
        <f t="shared" si="13"/>
        <v>5955</v>
      </c>
      <c r="X92" t="str">
        <f t="shared" si="14"/>
        <v>Correct</v>
      </c>
    </row>
    <row r="93" spans="1:24" x14ac:dyDescent="0.3">
      <c r="A93" t="s">
        <v>264</v>
      </c>
      <c r="B93" s="3">
        <v>45677</v>
      </c>
      <c r="C93" t="s">
        <v>265</v>
      </c>
      <c r="D93" t="s">
        <v>20</v>
      </c>
      <c r="E93" t="s">
        <v>31</v>
      </c>
      <c r="F93">
        <v>32</v>
      </c>
      <c r="G93" t="s">
        <v>32</v>
      </c>
      <c r="H93" t="s">
        <v>41</v>
      </c>
      <c r="I93" t="s">
        <v>24</v>
      </c>
      <c r="J93" t="s">
        <v>72</v>
      </c>
      <c r="K93">
        <v>1</v>
      </c>
      <c r="L93" t="str">
        <f t="shared" si="10"/>
        <v>Valid</v>
      </c>
      <c r="M93" s="9">
        <v>1233</v>
      </c>
      <c r="N93" s="9">
        <v>64</v>
      </c>
      <c r="O93" s="9">
        <v>18</v>
      </c>
      <c r="P93" t="s">
        <v>49</v>
      </c>
      <c r="Q93" t="s">
        <v>43</v>
      </c>
      <c r="R93" t="s">
        <v>44</v>
      </c>
      <c r="S93" t="str">
        <f t="shared" si="11"/>
        <v>Check Return</v>
      </c>
      <c r="T93">
        <v>3</v>
      </c>
      <c r="U93" t="str">
        <f t="shared" si="12"/>
        <v>OK</v>
      </c>
      <c r="V93" s="5">
        <v>1187</v>
      </c>
      <c r="W93" s="5">
        <f t="shared" si="13"/>
        <v>1187</v>
      </c>
      <c r="X93" t="str">
        <f t="shared" si="14"/>
        <v>Correct</v>
      </c>
    </row>
    <row r="94" spans="1:24" x14ac:dyDescent="0.3">
      <c r="A94" t="s">
        <v>266</v>
      </c>
      <c r="B94" s="3">
        <v>45736</v>
      </c>
      <c r="C94" t="s">
        <v>267</v>
      </c>
      <c r="D94" t="s">
        <v>20</v>
      </c>
      <c r="E94" t="s">
        <v>21</v>
      </c>
      <c r="F94">
        <v>56</v>
      </c>
      <c r="G94" t="s">
        <v>22</v>
      </c>
      <c r="H94" t="s">
        <v>47</v>
      </c>
      <c r="I94" t="s">
        <v>54</v>
      </c>
      <c r="J94" t="s">
        <v>83</v>
      </c>
      <c r="K94">
        <v>4</v>
      </c>
      <c r="L94" t="str">
        <f t="shared" si="10"/>
        <v>Valid</v>
      </c>
      <c r="M94" s="9">
        <v>1198</v>
      </c>
      <c r="N94" s="9">
        <v>98</v>
      </c>
      <c r="O94" s="9">
        <v>44</v>
      </c>
      <c r="P94" t="s">
        <v>78</v>
      </c>
      <c r="Q94" t="s">
        <v>43</v>
      </c>
      <c r="R94" t="s">
        <v>28</v>
      </c>
      <c r="S94" t="str">
        <f t="shared" si="11"/>
        <v>OK</v>
      </c>
      <c r="T94">
        <v>2</v>
      </c>
      <c r="U94" t="str">
        <f t="shared" si="12"/>
        <v>OK</v>
      </c>
      <c r="V94" s="5">
        <v>4738</v>
      </c>
      <c r="W94" s="5">
        <f t="shared" si="13"/>
        <v>4738</v>
      </c>
      <c r="X94" t="str">
        <f t="shared" si="14"/>
        <v>Correct</v>
      </c>
    </row>
    <row r="95" spans="1:24" x14ac:dyDescent="0.3">
      <c r="A95" t="s">
        <v>268</v>
      </c>
      <c r="B95" s="3">
        <v>45742</v>
      </c>
      <c r="C95" t="s">
        <v>269</v>
      </c>
      <c r="D95" t="s">
        <v>63</v>
      </c>
      <c r="E95" t="s">
        <v>21</v>
      </c>
      <c r="F95">
        <v>27</v>
      </c>
      <c r="G95" t="s">
        <v>482</v>
      </c>
      <c r="H95" t="s">
        <v>41</v>
      </c>
      <c r="I95" t="s">
        <v>34</v>
      </c>
      <c r="J95" t="s">
        <v>175</v>
      </c>
      <c r="K95">
        <v>1</v>
      </c>
      <c r="L95" t="str">
        <f t="shared" si="10"/>
        <v>Valid</v>
      </c>
      <c r="M95" s="9">
        <v>421</v>
      </c>
      <c r="N95" s="9">
        <v>18</v>
      </c>
      <c r="O95" s="9">
        <v>41</v>
      </c>
      <c r="P95" t="s">
        <v>78</v>
      </c>
      <c r="Q95" t="s">
        <v>27</v>
      </c>
      <c r="R95" t="s">
        <v>28</v>
      </c>
      <c r="S95" t="str">
        <f t="shared" si="11"/>
        <v>OK</v>
      </c>
      <c r="T95">
        <v>5</v>
      </c>
      <c r="U95" t="str">
        <f t="shared" si="12"/>
        <v>OK</v>
      </c>
      <c r="V95" s="5">
        <v>444</v>
      </c>
      <c r="W95" s="5">
        <f t="shared" si="13"/>
        <v>444</v>
      </c>
      <c r="X95" t="str">
        <f t="shared" si="14"/>
        <v>Correct</v>
      </c>
    </row>
    <row r="96" spans="1:24" x14ac:dyDescent="0.3">
      <c r="A96" t="s">
        <v>270</v>
      </c>
      <c r="B96" s="3">
        <v>45750</v>
      </c>
      <c r="C96" t="s">
        <v>271</v>
      </c>
      <c r="D96" t="s">
        <v>52</v>
      </c>
      <c r="E96" t="s">
        <v>21</v>
      </c>
      <c r="F96">
        <v>21</v>
      </c>
      <c r="G96" t="s">
        <v>482</v>
      </c>
      <c r="H96" t="s">
        <v>99</v>
      </c>
      <c r="I96" t="s">
        <v>24</v>
      </c>
      <c r="J96" t="s">
        <v>42</v>
      </c>
      <c r="K96">
        <v>3</v>
      </c>
      <c r="L96" t="str">
        <f t="shared" si="10"/>
        <v>Valid</v>
      </c>
      <c r="M96" s="9">
        <v>372</v>
      </c>
      <c r="O96" s="9">
        <v>24</v>
      </c>
      <c r="P96" t="s">
        <v>49</v>
      </c>
      <c r="Q96" t="s">
        <v>56</v>
      </c>
      <c r="R96" t="s">
        <v>44</v>
      </c>
      <c r="S96" t="str">
        <f t="shared" si="11"/>
        <v>Check Return</v>
      </c>
      <c r="T96">
        <v>1</v>
      </c>
      <c r="U96" t="str">
        <f t="shared" si="12"/>
        <v>OK</v>
      </c>
      <c r="V96" s="5">
        <v>1093</v>
      </c>
      <c r="W96" s="5">
        <f t="shared" si="13"/>
        <v>1140</v>
      </c>
      <c r="X96" t="str">
        <f t="shared" si="14"/>
        <v>Mismatch</v>
      </c>
    </row>
    <row r="97" spans="1:24" x14ac:dyDescent="0.3">
      <c r="A97" t="s">
        <v>272</v>
      </c>
      <c r="B97" s="3">
        <v>45711</v>
      </c>
      <c r="C97" t="s">
        <v>273</v>
      </c>
      <c r="D97" t="s">
        <v>52</v>
      </c>
      <c r="E97" t="s">
        <v>21</v>
      </c>
      <c r="F97">
        <v>50</v>
      </c>
      <c r="G97" t="s">
        <v>482</v>
      </c>
      <c r="H97" t="s">
        <v>71</v>
      </c>
      <c r="I97" t="s">
        <v>54</v>
      </c>
      <c r="J97" t="s">
        <v>83</v>
      </c>
      <c r="K97">
        <v>4</v>
      </c>
      <c r="L97" t="str">
        <f t="shared" si="10"/>
        <v>Valid</v>
      </c>
      <c r="M97" s="9">
        <v>1044</v>
      </c>
      <c r="N97" s="9">
        <v>77</v>
      </c>
      <c r="O97" s="9">
        <v>33</v>
      </c>
      <c r="P97" t="s">
        <v>49</v>
      </c>
      <c r="Q97" t="s">
        <v>43</v>
      </c>
      <c r="R97" t="s">
        <v>37</v>
      </c>
      <c r="S97" t="str">
        <f t="shared" si="11"/>
        <v>OK</v>
      </c>
      <c r="T97">
        <v>1</v>
      </c>
      <c r="U97" t="str">
        <f t="shared" si="12"/>
        <v>OK</v>
      </c>
      <c r="V97" s="5">
        <v>4132</v>
      </c>
      <c r="W97" s="5">
        <f t="shared" si="13"/>
        <v>4132</v>
      </c>
      <c r="X97" t="str">
        <f t="shared" si="14"/>
        <v>Correct</v>
      </c>
    </row>
    <row r="98" spans="1:24" x14ac:dyDescent="0.3">
      <c r="A98" t="s">
        <v>274</v>
      </c>
      <c r="B98" s="3">
        <v>45708</v>
      </c>
      <c r="C98" t="s">
        <v>275</v>
      </c>
      <c r="D98" t="s">
        <v>75</v>
      </c>
      <c r="E98" t="s">
        <v>21</v>
      </c>
      <c r="F98">
        <v>18</v>
      </c>
      <c r="G98" t="s">
        <v>22</v>
      </c>
      <c r="H98" t="s">
        <v>71</v>
      </c>
      <c r="I98" t="s">
        <v>54</v>
      </c>
      <c r="J98" t="s">
        <v>72</v>
      </c>
      <c r="K98">
        <v>6</v>
      </c>
      <c r="L98" t="str">
        <f t="shared" ref="L98:L129" si="15">IF(K98&lt;0,"Invalid","Valid")</f>
        <v>Valid</v>
      </c>
      <c r="M98" s="9">
        <v>681</v>
      </c>
      <c r="N98" s="9">
        <v>5</v>
      </c>
      <c r="O98" s="9">
        <v>19</v>
      </c>
      <c r="P98" t="s">
        <v>49</v>
      </c>
      <c r="Q98" t="s">
        <v>43</v>
      </c>
      <c r="R98" t="s">
        <v>28</v>
      </c>
      <c r="S98" t="str">
        <f t="shared" ref="S98:S129" si="16">IF(AND(R98="Returned",V98&gt;0),"Check Return","OK")</f>
        <v>OK</v>
      </c>
      <c r="T98">
        <v>2</v>
      </c>
      <c r="U98" t="str">
        <f t="shared" ref="U98:U129" si="17">IF(T98&gt;5,"Invalid Rating","OK")</f>
        <v>OK</v>
      </c>
      <c r="V98" s="5">
        <v>4100</v>
      </c>
      <c r="W98" s="5">
        <f t="shared" ref="W98:W129" si="18">(K98*M98)-N98+O98</f>
        <v>4100</v>
      </c>
      <c r="X98" t="str">
        <f t="shared" ref="X98:X129" si="19">IF(V98=W98,"Correct","Mismatch")</f>
        <v>Correct</v>
      </c>
    </row>
    <row r="99" spans="1:24" x14ac:dyDescent="0.3">
      <c r="A99" t="s">
        <v>276</v>
      </c>
      <c r="B99" s="3">
        <v>45680</v>
      </c>
      <c r="C99" t="s">
        <v>277</v>
      </c>
      <c r="D99" t="s">
        <v>81</v>
      </c>
      <c r="E99" t="s">
        <v>31</v>
      </c>
      <c r="F99">
        <v>52</v>
      </c>
      <c r="G99" t="s">
        <v>482</v>
      </c>
      <c r="H99" t="s">
        <v>23</v>
      </c>
      <c r="I99" t="s">
        <v>54</v>
      </c>
      <c r="J99" t="s">
        <v>175</v>
      </c>
      <c r="K99">
        <v>1</v>
      </c>
      <c r="L99" t="str">
        <f t="shared" si="15"/>
        <v>Valid</v>
      </c>
      <c r="M99" s="9">
        <v>1068</v>
      </c>
      <c r="N99" s="9">
        <v>95</v>
      </c>
      <c r="O99" s="9">
        <v>32</v>
      </c>
      <c r="P99" t="s">
        <v>78</v>
      </c>
      <c r="Q99" t="s">
        <v>56</v>
      </c>
      <c r="R99" t="s">
        <v>44</v>
      </c>
      <c r="S99" t="str">
        <f t="shared" si="16"/>
        <v>Check Return</v>
      </c>
      <c r="T99">
        <v>5</v>
      </c>
      <c r="U99" t="str">
        <f t="shared" si="17"/>
        <v>OK</v>
      </c>
      <c r="V99" s="5">
        <v>1005</v>
      </c>
      <c r="W99" s="5">
        <f t="shared" si="18"/>
        <v>1005</v>
      </c>
      <c r="X99" t="str">
        <f t="shared" si="19"/>
        <v>Correct</v>
      </c>
    </row>
    <row r="100" spans="1:24" x14ac:dyDescent="0.3">
      <c r="A100" t="s">
        <v>278</v>
      </c>
      <c r="B100" s="3">
        <v>45775</v>
      </c>
      <c r="C100" t="s">
        <v>279</v>
      </c>
      <c r="D100" t="s">
        <v>40</v>
      </c>
      <c r="E100" t="s">
        <v>31</v>
      </c>
      <c r="F100">
        <v>54</v>
      </c>
      <c r="G100" t="s">
        <v>482</v>
      </c>
      <c r="H100" t="s">
        <v>71</v>
      </c>
      <c r="I100" t="s">
        <v>54</v>
      </c>
      <c r="J100" t="s">
        <v>55</v>
      </c>
      <c r="K100">
        <v>1</v>
      </c>
      <c r="L100" t="str">
        <f t="shared" si="15"/>
        <v>Valid</v>
      </c>
      <c r="M100" s="9">
        <v>943</v>
      </c>
      <c r="N100" s="9">
        <v>2</v>
      </c>
      <c r="O100" s="9">
        <v>34</v>
      </c>
      <c r="P100" t="s">
        <v>26</v>
      </c>
      <c r="Q100" t="s">
        <v>36</v>
      </c>
      <c r="R100" t="s">
        <v>37</v>
      </c>
      <c r="S100" t="str">
        <f t="shared" si="16"/>
        <v>OK</v>
      </c>
      <c r="T100">
        <v>4</v>
      </c>
      <c r="U100" t="str">
        <f t="shared" si="17"/>
        <v>OK</v>
      </c>
      <c r="V100" s="5">
        <v>975</v>
      </c>
      <c r="W100" s="5">
        <f t="shared" si="18"/>
        <v>975</v>
      </c>
      <c r="X100" t="str">
        <f t="shared" si="19"/>
        <v>Correct</v>
      </c>
    </row>
    <row r="101" spans="1:24" x14ac:dyDescent="0.3">
      <c r="A101" t="s">
        <v>280</v>
      </c>
      <c r="B101" s="3">
        <v>45764</v>
      </c>
      <c r="C101" t="s">
        <v>281</v>
      </c>
      <c r="D101" t="s">
        <v>20</v>
      </c>
      <c r="E101" t="s">
        <v>31</v>
      </c>
      <c r="F101">
        <v>23</v>
      </c>
      <c r="G101" t="s">
        <v>64</v>
      </c>
      <c r="H101" t="s">
        <v>82</v>
      </c>
      <c r="I101" t="s">
        <v>66</v>
      </c>
      <c r="J101" t="s">
        <v>55</v>
      </c>
      <c r="K101">
        <v>3</v>
      </c>
      <c r="L101" t="str">
        <f t="shared" si="15"/>
        <v>Valid</v>
      </c>
      <c r="M101" s="9">
        <v>401</v>
      </c>
      <c r="N101" s="9">
        <v>79</v>
      </c>
      <c r="O101" s="9">
        <v>34</v>
      </c>
      <c r="P101" t="s">
        <v>26</v>
      </c>
      <c r="Q101" t="s">
        <v>27</v>
      </c>
      <c r="R101" t="s">
        <v>28</v>
      </c>
      <c r="S101" t="str">
        <f t="shared" si="16"/>
        <v>OK</v>
      </c>
      <c r="T101">
        <v>4</v>
      </c>
      <c r="U101" t="str">
        <f t="shared" si="17"/>
        <v>OK</v>
      </c>
      <c r="V101" s="5">
        <v>1158</v>
      </c>
      <c r="W101" s="5">
        <f t="shared" si="18"/>
        <v>1158</v>
      </c>
      <c r="X101" t="str">
        <f t="shared" si="19"/>
        <v>Correct</v>
      </c>
    </row>
    <row r="102" spans="1:24" x14ac:dyDescent="0.3">
      <c r="A102" t="s">
        <v>282</v>
      </c>
      <c r="B102" s="3">
        <v>45757</v>
      </c>
      <c r="C102" t="s">
        <v>283</v>
      </c>
      <c r="D102" t="s">
        <v>81</v>
      </c>
      <c r="E102" t="s">
        <v>21</v>
      </c>
      <c r="F102">
        <v>50</v>
      </c>
      <c r="G102" t="s">
        <v>22</v>
      </c>
      <c r="H102" t="s">
        <v>76</v>
      </c>
      <c r="I102" t="s">
        <v>34</v>
      </c>
      <c r="J102" t="s">
        <v>77</v>
      </c>
      <c r="K102">
        <v>3</v>
      </c>
      <c r="L102" t="str">
        <f t="shared" si="15"/>
        <v>Valid</v>
      </c>
      <c r="M102" s="9">
        <v>745</v>
      </c>
      <c r="N102" s="9">
        <v>28</v>
      </c>
      <c r="O102" s="9">
        <v>26</v>
      </c>
      <c r="P102" t="s">
        <v>78</v>
      </c>
      <c r="Q102" t="s">
        <v>27</v>
      </c>
      <c r="R102" t="s">
        <v>44</v>
      </c>
      <c r="S102" t="str">
        <f t="shared" si="16"/>
        <v>Check Return</v>
      </c>
      <c r="T102">
        <v>5</v>
      </c>
      <c r="U102" t="str">
        <f t="shared" si="17"/>
        <v>OK</v>
      </c>
      <c r="V102" s="5">
        <v>2233</v>
      </c>
      <c r="W102" s="5">
        <f t="shared" si="18"/>
        <v>2233</v>
      </c>
      <c r="X102" t="str">
        <f t="shared" si="19"/>
        <v>Correct</v>
      </c>
    </row>
    <row r="103" spans="1:24" x14ac:dyDescent="0.3">
      <c r="A103" t="s">
        <v>284</v>
      </c>
      <c r="B103" s="3">
        <v>45676</v>
      </c>
      <c r="C103" t="s">
        <v>285</v>
      </c>
      <c r="D103" t="s">
        <v>52</v>
      </c>
      <c r="E103" t="s">
        <v>21</v>
      </c>
      <c r="F103">
        <v>29</v>
      </c>
      <c r="G103" t="s">
        <v>482</v>
      </c>
      <c r="H103" t="s">
        <v>159</v>
      </c>
      <c r="I103" t="s">
        <v>34</v>
      </c>
      <c r="J103" t="s">
        <v>86</v>
      </c>
      <c r="K103">
        <v>6</v>
      </c>
      <c r="L103" t="str">
        <f t="shared" si="15"/>
        <v>Valid</v>
      </c>
      <c r="M103" s="9">
        <v>352</v>
      </c>
      <c r="N103" s="9">
        <v>30</v>
      </c>
      <c r="O103" s="9">
        <v>11</v>
      </c>
      <c r="P103" t="s">
        <v>78</v>
      </c>
      <c r="Q103" t="s">
        <v>56</v>
      </c>
      <c r="R103" t="s">
        <v>44</v>
      </c>
      <c r="S103" t="str">
        <f t="shared" si="16"/>
        <v>Check Return</v>
      </c>
      <c r="T103">
        <v>1</v>
      </c>
      <c r="U103" t="str">
        <f t="shared" si="17"/>
        <v>OK</v>
      </c>
      <c r="V103" s="5">
        <v>2093</v>
      </c>
      <c r="W103" s="5">
        <f t="shared" si="18"/>
        <v>2093</v>
      </c>
      <c r="X103" t="str">
        <f t="shared" si="19"/>
        <v>Correct</v>
      </c>
    </row>
    <row r="104" spans="1:24" x14ac:dyDescent="0.3">
      <c r="A104" t="s">
        <v>286</v>
      </c>
      <c r="B104" s="3">
        <v>45740</v>
      </c>
      <c r="C104" t="s">
        <v>287</v>
      </c>
      <c r="D104" t="s">
        <v>20</v>
      </c>
      <c r="E104" t="s">
        <v>31</v>
      </c>
      <c r="F104">
        <v>58</v>
      </c>
      <c r="G104" t="s">
        <v>22</v>
      </c>
      <c r="H104" t="s">
        <v>71</v>
      </c>
      <c r="I104" t="s">
        <v>66</v>
      </c>
      <c r="J104" t="s">
        <v>42</v>
      </c>
      <c r="K104">
        <v>5</v>
      </c>
      <c r="L104" t="str">
        <f t="shared" si="15"/>
        <v>Valid</v>
      </c>
      <c r="M104" s="9">
        <v>969</v>
      </c>
      <c r="N104" s="9">
        <v>87</v>
      </c>
      <c r="O104" s="9">
        <v>41</v>
      </c>
      <c r="P104" t="s">
        <v>26</v>
      </c>
      <c r="Q104" t="s">
        <v>56</v>
      </c>
      <c r="R104" t="s">
        <v>37</v>
      </c>
      <c r="S104" t="str">
        <f t="shared" si="16"/>
        <v>OK</v>
      </c>
      <c r="T104">
        <v>1</v>
      </c>
      <c r="U104" t="str">
        <f t="shared" si="17"/>
        <v>OK</v>
      </c>
      <c r="V104" s="5">
        <v>4799</v>
      </c>
      <c r="W104" s="5">
        <f t="shared" si="18"/>
        <v>4799</v>
      </c>
      <c r="X104" t="str">
        <f t="shared" si="19"/>
        <v>Correct</v>
      </c>
    </row>
    <row r="105" spans="1:24" x14ac:dyDescent="0.3">
      <c r="A105" t="s">
        <v>288</v>
      </c>
      <c r="B105" s="3">
        <v>45667</v>
      </c>
      <c r="C105" t="s">
        <v>289</v>
      </c>
      <c r="D105" t="s">
        <v>52</v>
      </c>
      <c r="E105" t="s">
        <v>31</v>
      </c>
      <c r="F105">
        <v>46</v>
      </c>
      <c r="G105" t="s">
        <v>32</v>
      </c>
      <c r="H105" t="s">
        <v>41</v>
      </c>
      <c r="I105" t="s">
        <v>24</v>
      </c>
      <c r="J105" t="s">
        <v>191</v>
      </c>
      <c r="K105">
        <v>5</v>
      </c>
      <c r="L105" t="str">
        <f t="shared" si="15"/>
        <v>Valid</v>
      </c>
      <c r="M105" s="9">
        <v>165</v>
      </c>
      <c r="N105" s="9">
        <v>45</v>
      </c>
      <c r="O105" s="9">
        <v>37</v>
      </c>
      <c r="P105" t="s">
        <v>49</v>
      </c>
      <c r="Q105" t="s">
        <v>27</v>
      </c>
      <c r="R105" t="s">
        <v>37</v>
      </c>
      <c r="S105" t="str">
        <f t="shared" si="16"/>
        <v>OK</v>
      </c>
      <c r="T105">
        <v>3</v>
      </c>
      <c r="U105" t="str">
        <f t="shared" si="17"/>
        <v>OK</v>
      </c>
      <c r="V105" s="5">
        <v>817</v>
      </c>
      <c r="W105" s="5">
        <f t="shared" si="18"/>
        <v>817</v>
      </c>
      <c r="X105" t="str">
        <f t="shared" si="19"/>
        <v>Correct</v>
      </c>
    </row>
    <row r="106" spans="1:24" x14ac:dyDescent="0.3">
      <c r="A106" t="s">
        <v>290</v>
      </c>
      <c r="B106" s="3">
        <v>45728</v>
      </c>
      <c r="C106" t="s">
        <v>291</v>
      </c>
      <c r="D106" t="s">
        <v>20</v>
      </c>
      <c r="E106" t="s">
        <v>21</v>
      </c>
      <c r="F106">
        <v>46</v>
      </c>
      <c r="G106" t="s">
        <v>481</v>
      </c>
      <c r="H106" t="s">
        <v>33</v>
      </c>
      <c r="I106" t="s">
        <v>66</v>
      </c>
      <c r="J106" t="s">
        <v>25</v>
      </c>
      <c r="K106">
        <v>5</v>
      </c>
      <c r="L106" t="str">
        <f t="shared" si="15"/>
        <v>Valid</v>
      </c>
      <c r="M106" s="9">
        <v>837</v>
      </c>
      <c r="N106" s="9">
        <v>59</v>
      </c>
      <c r="O106" s="9">
        <v>42</v>
      </c>
      <c r="P106" t="s">
        <v>78</v>
      </c>
      <c r="Q106" t="s">
        <v>56</v>
      </c>
      <c r="R106" t="s">
        <v>37</v>
      </c>
      <c r="S106" t="str">
        <f t="shared" si="16"/>
        <v>OK</v>
      </c>
      <c r="T106">
        <v>5</v>
      </c>
      <c r="U106" t="str">
        <f t="shared" si="17"/>
        <v>OK</v>
      </c>
      <c r="V106" s="5">
        <v>4168</v>
      </c>
      <c r="W106" s="5">
        <f t="shared" si="18"/>
        <v>4168</v>
      </c>
      <c r="X106" t="str">
        <f t="shared" si="19"/>
        <v>Correct</v>
      </c>
    </row>
    <row r="107" spans="1:24" x14ac:dyDescent="0.3">
      <c r="A107" t="s">
        <v>292</v>
      </c>
      <c r="B107" s="3">
        <v>45668</v>
      </c>
      <c r="C107" t="s">
        <v>293</v>
      </c>
      <c r="D107" t="s">
        <v>75</v>
      </c>
      <c r="E107" t="s">
        <v>21</v>
      </c>
      <c r="F107">
        <v>20</v>
      </c>
      <c r="G107" t="s">
        <v>22</v>
      </c>
      <c r="H107" t="s">
        <v>53</v>
      </c>
      <c r="I107" t="s">
        <v>34</v>
      </c>
      <c r="J107" t="s">
        <v>77</v>
      </c>
      <c r="K107">
        <v>4</v>
      </c>
      <c r="L107" t="str">
        <f t="shared" si="15"/>
        <v>Valid</v>
      </c>
      <c r="M107" s="9">
        <v>261</v>
      </c>
      <c r="N107" s="9">
        <v>43</v>
      </c>
      <c r="O107" s="9">
        <v>50</v>
      </c>
      <c r="P107" t="s">
        <v>49</v>
      </c>
      <c r="Q107" t="s">
        <v>134</v>
      </c>
      <c r="R107" t="s">
        <v>37</v>
      </c>
      <c r="S107" t="str">
        <f t="shared" si="16"/>
        <v>OK</v>
      </c>
      <c r="T107">
        <v>5</v>
      </c>
      <c r="U107" t="str">
        <f t="shared" si="17"/>
        <v>OK</v>
      </c>
      <c r="V107" s="5">
        <v>1051</v>
      </c>
      <c r="W107" s="5">
        <f t="shared" si="18"/>
        <v>1051</v>
      </c>
      <c r="X107" t="str">
        <f t="shared" si="19"/>
        <v>Correct</v>
      </c>
    </row>
    <row r="108" spans="1:24" x14ac:dyDescent="0.3">
      <c r="A108" t="s">
        <v>294</v>
      </c>
      <c r="B108" s="3">
        <v>45744</v>
      </c>
      <c r="C108" t="s">
        <v>295</v>
      </c>
      <c r="D108" t="s">
        <v>75</v>
      </c>
      <c r="E108" t="s">
        <v>21</v>
      </c>
      <c r="F108">
        <v>58</v>
      </c>
      <c r="G108" t="s">
        <v>482</v>
      </c>
      <c r="H108" t="s">
        <v>41</v>
      </c>
      <c r="I108" t="s">
        <v>24</v>
      </c>
      <c r="J108" t="s">
        <v>86</v>
      </c>
      <c r="K108">
        <v>4</v>
      </c>
      <c r="L108" t="str">
        <f t="shared" si="15"/>
        <v>Valid</v>
      </c>
      <c r="M108" s="9">
        <v>887</v>
      </c>
      <c r="N108" s="9">
        <v>99</v>
      </c>
      <c r="O108" s="9">
        <v>26</v>
      </c>
      <c r="P108" t="s">
        <v>78</v>
      </c>
      <c r="Q108" t="s">
        <v>43</v>
      </c>
      <c r="R108" t="s">
        <v>28</v>
      </c>
      <c r="S108" t="str">
        <f t="shared" si="16"/>
        <v>OK</v>
      </c>
      <c r="T108">
        <v>3</v>
      </c>
      <c r="U108" t="str">
        <f t="shared" si="17"/>
        <v>OK</v>
      </c>
      <c r="V108" s="5">
        <v>3475</v>
      </c>
      <c r="W108" s="5">
        <f t="shared" si="18"/>
        <v>3475</v>
      </c>
      <c r="X108" t="str">
        <f t="shared" si="19"/>
        <v>Correct</v>
      </c>
    </row>
    <row r="109" spans="1:24" x14ac:dyDescent="0.3">
      <c r="A109" t="s">
        <v>296</v>
      </c>
      <c r="B109" s="3">
        <v>45700</v>
      </c>
      <c r="C109" t="s">
        <v>297</v>
      </c>
      <c r="D109" t="s">
        <v>40</v>
      </c>
      <c r="E109" t="s">
        <v>21</v>
      </c>
      <c r="F109">
        <v>40</v>
      </c>
      <c r="G109" t="s">
        <v>32</v>
      </c>
      <c r="H109" t="s">
        <v>99</v>
      </c>
      <c r="I109" t="s">
        <v>24</v>
      </c>
      <c r="J109" t="s">
        <v>60</v>
      </c>
      <c r="K109">
        <v>3</v>
      </c>
      <c r="L109" t="str">
        <f t="shared" si="15"/>
        <v>Valid</v>
      </c>
      <c r="M109" s="9">
        <v>1394</v>
      </c>
      <c r="N109" s="9">
        <v>77</v>
      </c>
      <c r="O109" s="9">
        <v>14</v>
      </c>
      <c r="P109" t="s">
        <v>26</v>
      </c>
      <c r="Q109" t="s">
        <v>134</v>
      </c>
      <c r="R109" t="s">
        <v>28</v>
      </c>
      <c r="S109" t="str">
        <f t="shared" si="16"/>
        <v>OK</v>
      </c>
      <c r="T109">
        <v>5</v>
      </c>
      <c r="U109" t="str">
        <f t="shared" si="17"/>
        <v>OK</v>
      </c>
      <c r="V109" s="5">
        <v>4119</v>
      </c>
      <c r="W109" s="5">
        <f t="shared" si="18"/>
        <v>4119</v>
      </c>
      <c r="X109" t="str">
        <f t="shared" si="19"/>
        <v>Correct</v>
      </c>
    </row>
    <row r="110" spans="1:24" x14ac:dyDescent="0.3">
      <c r="A110" t="s">
        <v>298</v>
      </c>
      <c r="B110" s="3">
        <v>45747</v>
      </c>
      <c r="C110" t="s">
        <v>299</v>
      </c>
      <c r="D110" t="s">
        <v>20</v>
      </c>
      <c r="E110" t="s">
        <v>21</v>
      </c>
      <c r="F110">
        <v>59</v>
      </c>
      <c r="G110" t="s">
        <v>22</v>
      </c>
      <c r="H110" t="s">
        <v>103</v>
      </c>
      <c r="I110" t="s">
        <v>24</v>
      </c>
      <c r="J110" t="s">
        <v>83</v>
      </c>
      <c r="K110">
        <v>6</v>
      </c>
      <c r="L110" t="str">
        <f t="shared" si="15"/>
        <v>Valid</v>
      </c>
      <c r="M110" s="9">
        <v>722</v>
      </c>
      <c r="N110" s="9">
        <v>16</v>
      </c>
      <c r="O110" s="9">
        <v>47</v>
      </c>
      <c r="P110" t="s">
        <v>78</v>
      </c>
      <c r="Q110" t="s">
        <v>134</v>
      </c>
      <c r="R110" t="s">
        <v>44</v>
      </c>
      <c r="S110" t="str">
        <f t="shared" si="16"/>
        <v>Check Return</v>
      </c>
      <c r="T110">
        <v>3</v>
      </c>
      <c r="U110" t="str">
        <f t="shared" si="17"/>
        <v>OK</v>
      </c>
      <c r="V110" s="5">
        <v>4363</v>
      </c>
      <c r="W110" s="5">
        <f t="shared" si="18"/>
        <v>4363</v>
      </c>
      <c r="X110" t="str">
        <f t="shared" si="19"/>
        <v>Correct</v>
      </c>
    </row>
    <row r="111" spans="1:24" x14ac:dyDescent="0.3">
      <c r="A111" t="s">
        <v>300</v>
      </c>
      <c r="B111" s="3">
        <v>45682</v>
      </c>
      <c r="C111" t="s">
        <v>301</v>
      </c>
      <c r="D111" t="s">
        <v>81</v>
      </c>
      <c r="E111" t="s">
        <v>21</v>
      </c>
      <c r="F111">
        <v>27</v>
      </c>
      <c r="G111" t="s">
        <v>32</v>
      </c>
      <c r="H111" t="s">
        <v>23</v>
      </c>
      <c r="I111" t="s">
        <v>24</v>
      </c>
      <c r="J111" t="s">
        <v>83</v>
      </c>
      <c r="K111">
        <v>2</v>
      </c>
      <c r="L111" t="str">
        <f t="shared" si="15"/>
        <v>Valid</v>
      </c>
      <c r="M111" s="9">
        <v>749</v>
      </c>
      <c r="N111" s="9">
        <v>98</v>
      </c>
      <c r="O111" s="9">
        <v>36</v>
      </c>
      <c r="P111" t="s">
        <v>49</v>
      </c>
      <c r="Q111" t="s">
        <v>43</v>
      </c>
      <c r="R111" t="s">
        <v>28</v>
      </c>
      <c r="S111" t="str">
        <f t="shared" si="16"/>
        <v>OK</v>
      </c>
      <c r="T111">
        <v>5</v>
      </c>
      <c r="U111" t="str">
        <f t="shared" si="17"/>
        <v>OK</v>
      </c>
      <c r="V111" s="5">
        <v>1436</v>
      </c>
      <c r="W111" s="5">
        <f t="shared" si="18"/>
        <v>1436</v>
      </c>
      <c r="X111" t="str">
        <f t="shared" si="19"/>
        <v>Correct</v>
      </c>
    </row>
    <row r="112" spans="1:24" x14ac:dyDescent="0.3">
      <c r="A112" t="s">
        <v>302</v>
      </c>
      <c r="B112" s="3">
        <v>45681</v>
      </c>
      <c r="C112" t="s">
        <v>303</v>
      </c>
      <c r="D112" t="s">
        <v>20</v>
      </c>
      <c r="E112" t="s">
        <v>21</v>
      </c>
      <c r="F112">
        <v>46</v>
      </c>
      <c r="G112" t="s">
        <v>22</v>
      </c>
      <c r="H112" t="s">
        <v>47</v>
      </c>
      <c r="I112" t="s">
        <v>66</v>
      </c>
      <c r="J112" t="s">
        <v>83</v>
      </c>
      <c r="K112">
        <v>5</v>
      </c>
      <c r="L112" t="str">
        <f t="shared" si="15"/>
        <v>Valid</v>
      </c>
      <c r="M112" s="9">
        <v>821</v>
      </c>
      <c r="N112" s="9">
        <v>19</v>
      </c>
      <c r="O112" s="9">
        <v>15</v>
      </c>
      <c r="P112" t="s">
        <v>49</v>
      </c>
      <c r="Q112" t="s">
        <v>134</v>
      </c>
      <c r="R112" t="s">
        <v>37</v>
      </c>
      <c r="S112" t="str">
        <f t="shared" si="16"/>
        <v>OK</v>
      </c>
      <c r="T112">
        <v>2</v>
      </c>
      <c r="U112" t="str">
        <f t="shared" si="17"/>
        <v>OK</v>
      </c>
      <c r="V112" s="5">
        <v>4101</v>
      </c>
      <c r="W112" s="5">
        <f t="shared" si="18"/>
        <v>4101</v>
      </c>
      <c r="X112" t="str">
        <f t="shared" si="19"/>
        <v>Correct</v>
      </c>
    </row>
    <row r="113" spans="1:24" x14ac:dyDescent="0.3">
      <c r="A113" t="s">
        <v>304</v>
      </c>
      <c r="B113" s="3">
        <v>45697</v>
      </c>
      <c r="C113" t="s">
        <v>305</v>
      </c>
      <c r="D113" t="s">
        <v>63</v>
      </c>
      <c r="E113" t="s">
        <v>21</v>
      </c>
      <c r="F113">
        <v>41</v>
      </c>
      <c r="G113" t="s">
        <v>32</v>
      </c>
      <c r="H113" t="s">
        <v>159</v>
      </c>
      <c r="I113" t="s">
        <v>54</v>
      </c>
      <c r="J113" t="s">
        <v>77</v>
      </c>
      <c r="K113">
        <v>4</v>
      </c>
      <c r="L113" t="str">
        <f t="shared" si="15"/>
        <v>Valid</v>
      </c>
      <c r="M113" s="9">
        <v>529</v>
      </c>
      <c r="N113" s="9">
        <v>68</v>
      </c>
      <c r="O113" s="9">
        <v>20</v>
      </c>
      <c r="P113" t="s">
        <v>78</v>
      </c>
      <c r="Q113" t="s">
        <v>36</v>
      </c>
      <c r="R113" t="s">
        <v>37</v>
      </c>
      <c r="S113" t="str">
        <f t="shared" si="16"/>
        <v>OK</v>
      </c>
      <c r="T113">
        <v>4</v>
      </c>
      <c r="U113" t="str">
        <f t="shared" si="17"/>
        <v>OK</v>
      </c>
      <c r="V113" s="5">
        <v>2068</v>
      </c>
      <c r="W113" s="5">
        <f t="shared" si="18"/>
        <v>2068</v>
      </c>
      <c r="X113" t="str">
        <f t="shared" si="19"/>
        <v>Correct</v>
      </c>
    </row>
    <row r="114" spans="1:24" x14ac:dyDescent="0.3">
      <c r="A114" t="s">
        <v>306</v>
      </c>
      <c r="B114" s="3">
        <v>45675</v>
      </c>
      <c r="C114" t="s">
        <v>307</v>
      </c>
      <c r="D114" t="s">
        <v>52</v>
      </c>
      <c r="E114" t="s">
        <v>21</v>
      </c>
      <c r="F114">
        <v>59</v>
      </c>
      <c r="G114" t="s">
        <v>64</v>
      </c>
      <c r="H114" t="s">
        <v>33</v>
      </c>
      <c r="I114" t="s">
        <v>24</v>
      </c>
      <c r="J114" t="s">
        <v>100</v>
      </c>
      <c r="K114">
        <v>4</v>
      </c>
      <c r="L114" t="str">
        <f t="shared" si="15"/>
        <v>Valid</v>
      </c>
      <c r="M114" s="9">
        <v>381</v>
      </c>
      <c r="N114" s="9">
        <v>25</v>
      </c>
      <c r="O114" s="9">
        <v>43</v>
      </c>
      <c r="P114" t="s">
        <v>26</v>
      </c>
      <c r="Q114" t="s">
        <v>43</v>
      </c>
      <c r="R114" t="s">
        <v>44</v>
      </c>
      <c r="S114" t="str">
        <f t="shared" si="16"/>
        <v>Check Return</v>
      </c>
      <c r="T114">
        <v>1</v>
      </c>
      <c r="U114" t="str">
        <f t="shared" si="17"/>
        <v>OK</v>
      </c>
      <c r="V114" s="5">
        <v>1542</v>
      </c>
      <c r="W114" s="5">
        <f t="shared" si="18"/>
        <v>1542</v>
      </c>
      <c r="X114" t="str">
        <f t="shared" si="19"/>
        <v>Correct</v>
      </c>
    </row>
    <row r="115" spans="1:24" x14ac:dyDescent="0.3">
      <c r="A115" t="s">
        <v>308</v>
      </c>
      <c r="B115" s="3">
        <v>45764</v>
      </c>
      <c r="C115" t="s">
        <v>309</v>
      </c>
      <c r="D115" t="s">
        <v>63</v>
      </c>
      <c r="E115" t="s">
        <v>21</v>
      </c>
      <c r="F115">
        <v>32</v>
      </c>
      <c r="G115" t="s">
        <v>32</v>
      </c>
      <c r="H115" t="s">
        <v>65</v>
      </c>
      <c r="I115" t="s">
        <v>24</v>
      </c>
      <c r="J115" t="s">
        <v>83</v>
      </c>
      <c r="K115">
        <v>3</v>
      </c>
      <c r="L115" t="str">
        <f t="shared" si="15"/>
        <v>Valid</v>
      </c>
      <c r="M115" s="9">
        <v>970</v>
      </c>
      <c r="N115" s="9">
        <v>65</v>
      </c>
      <c r="O115" s="9">
        <v>14</v>
      </c>
      <c r="P115" t="s">
        <v>26</v>
      </c>
      <c r="Q115" t="s">
        <v>43</v>
      </c>
      <c r="R115" t="s">
        <v>28</v>
      </c>
      <c r="S115" t="str">
        <f t="shared" si="16"/>
        <v>OK</v>
      </c>
      <c r="T115">
        <v>4</v>
      </c>
      <c r="U115" t="str">
        <f t="shared" si="17"/>
        <v>OK</v>
      </c>
      <c r="V115" s="5">
        <v>2859</v>
      </c>
      <c r="W115" s="5">
        <f t="shared" si="18"/>
        <v>2859</v>
      </c>
      <c r="X115" t="str">
        <f t="shared" si="19"/>
        <v>Correct</v>
      </c>
    </row>
    <row r="116" spans="1:24" x14ac:dyDescent="0.3">
      <c r="A116" t="s">
        <v>310</v>
      </c>
      <c r="B116" s="3">
        <v>45686</v>
      </c>
      <c r="C116" t="s">
        <v>311</v>
      </c>
      <c r="D116" t="s">
        <v>40</v>
      </c>
      <c r="E116" t="s">
        <v>31</v>
      </c>
      <c r="F116">
        <v>24</v>
      </c>
      <c r="G116" t="s">
        <v>482</v>
      </c>
      <c r="H116" t="s">
        <v>103</v>
      </c>
      <c r="I116" t="s">
        <v>24</v>
      </c>
      <c r="J116" t="s">
        <v>48</v>
      </c>
      <c r="K116">
        <v>2</v>
      </c>
      <c r="L116" t="str">
        <f t="shared" si="15"/>
        <v>Valid</v>
      </c>
      <c r="M116" s="9">
        <v>840</v>
      </c>
      <c r="N116" s="9">
        <v>10</v>
      </c>
      <c r="O116" s="9">
        <v>28</v>
      </c>
      <c r="P116" t="s">
        <v>78</v>
      </c>
      <c r="Q116" t="s">
        <v>43</v>
      </c>
      <c r="R116" t="s">
        <v>28</v>
      </c>
      <c r="S116" t="str">
        <f t="shared" si="16"/>
        <v>OK</v>
      </c>
      <c r="T116">
        <v>2</v>
      </c>
      <c r="U116" t="str">
        <f t="shared" si="17"/>
        <v>OK</v>
      </c>
      <c r="V116" s="5">
        <v>1698</v>
      </c>
      <c r="W116" s="5">
        <f t="shared" si="18"/>
        <v>1698</v>
      </c>
      <c r="X116" t="str">
        <f t="shared" si="19"/>
        <v>Correct</v>
      </c>
    </row>
    <row r="117" spans="1:24" x14ac:dyDescent="0.3">
      <c r="A117" t="s">
        <v>312</v>
      </c>
      <c r="B117" s="3">
        <v>45736</v>
      </c>
      <c r="C117" t="s">
        <v>313</v>
      </c>
      <c r="D117" t="s">
        <v>40</v>
      </c>
      <c r="E117" t="s">
        <v>21</v>
      </c>
      <c r="F117">
        <v>19</v>
      </c>
      <c r="G117" t="s">
        <v>22</v>
      </c>
      <c r="H117" t="s">
        <v>71</v>
      </c>
      <c r="I117" t="s">
        <v>66</v>
      </c>
      <c r="J117" t="s">
        <v>83</v>
      </c>
      <c r="K117">
        <v>2</v>
      </c>
      <c r="L117" t="str">
        <f t="shared" si="15"/>
        <v>Valid</v>
      </c>
      <c r="M117" s="9">
        <v>1494</v>
      </c>
      <c r="N117" s="9">
        <v>60</v>
      </c>
      <c r="O117" s="9">
        <v>33</v>
      </c>
      <c r="P117" t="s">
        <v>26</v>
      </c>
      <c r="Q117" t="s">
        <v>56</v>
      </c>
      <c r="R117" t="s">
        <v>28</v>
      </c>
      <c r="S117" t="str">
        <f t="shared" si="16"/>
        <v>OK</v>
      </c>
      <c r="T117">
        <v>5</v>
      </c>
      <c r="U117" t="str">
        <f t="shared" si="17"/>
        <v>OK</v>
      </c>
      <c r="V117" s="5">
        <v>2961</v>
      </c>
      <c r="W117" s="5">
        <f t="shared" si="18"/>
        <v>2961</v>
      </c>
      <c r="X117" t="str">
        <f t="shared" si="19"/>
        <v>Correct</v>
      </c>
    </row>
    <row r="118" spans="1:24" x14ac:dyDescent="0.3">
      <c r="A118" t="s">
        <v>314</v>
      </c>
      <c r="B118" s="3">
        <v>45711</v>
      </c>
      <c r="C118" t="s">
        <v>315</v>
      </c>
      <c r="D118" t="s">
        <v>20</v>
      </c>
      <c r="E118" t="s">
        <v>31</v>
      </c>
      <c r="F118">
        <v>22</v>
      </c>
      <c r="G118" t="s">
        <v>32</v>
      </c>
      <c r="H118" t="s">
        <v>23</v>
      </c>
      <c r="I118" t="s">
        <v>24</v>
      </c>
      <c r="J118" t="s">
        <v>112</v>
      </c>
      <c r="K118">
        <v>3</v>
      </c>
      <c r="L118" t="str">
        <f t="shared" si="15"/>
        <v>Valid</v>
      </c>
      <c r="M118" s="9">
        <v>299</v>
      </c>
      <c r="N118" s="9">
        <v>6</v>
      </c>
      <c r="O118" s="9">
        <v>20</v>
      </c>
      <c r="P118" t="s">
        <v>49</v>
      </c>
      <c r="Q118" t="s">
        <v>134</v>
      </c>
      <c r="R118" t="s">
        <v>44</v>
      </c>
      <c r="S118" t="str">
        <f t="shared" si="16"/>
        <v>Check Return</v>
      </c>
      <c r="T118">
        <v>5</v>
      </c>
      <c r="U118" t="str">
        <f t="shared" si="17"/>
        <v>OK</v>
      </c>
      <c r="V118" s="5">
        <v>911</v>
      </c>
      <c r="W118" s="5">
        <f t="shared" si="18"/>
        <v>911</v>
      </c>
      <c r="X118" t="str">
        <f t="shared" si="19"/>
        <v>Correct</v>
      </c>
    </row>
    <row r="119" spans="1:24" x14ac:dyDescent="0.3">
      <c r="A119" t="s">
        <v>316</v>
      </c>
      <c r="B119" s="3">
        <v>45658</v>
      </c>
      <c r="C119" t="s">
        <v>317</v>
      </c>
      <c r="D119" t="s">
        <v>75</v>
      </c>
      <c r="E119" t="s">
        <v>31</v>
      </c>
      <c r="F119">
        <v>33</v>
      </c>
      <c r="G119" t="s">
        <v>32</v>
      </c>
      <c r="H119" t="s">
        <v>47</v>
      </c>
      <c r="I119" t="s">
        <v>54</v>
      </c>
      <c r="J119" t="s">
        <v>60</v>
      </c>
      <c r="K119">
        <v>6</v>
      </c>
      <c r="L119" t="str">
        <f t="shared" si="15"/>
        <v>Valid</v>
      </c>
      <c r="M119" s="9">
        <v>344</v>
      </c>
      <c r="N119" s="9">
        <v>37</v>
      </c>
      <c r="O119" s="9">
        <v>32</v>
      </c>
      <c r="P119" t="s">
        <v>78</v>
      </c>
      <c r="Q119" t="s">
        <v>134</v>
      </c>
      <c r="R119" t="s">
        <v>28</v>
      </c>
      <c r="S119" t="str">
        <f t="shared" si="16"/>
        <v>OK</v>
      </c>
      <c r="T119">
        <v>1</v>
      </c>
      <c r="U119" t="str">
        <f t="shared" si="17"/>
        <v>OK</v>
      </c>
      <c r="V119" s="5">
        <v>2059</v>
      </c>
      <c r="W119" s="5">
        <f t="shared" si="18"/>
        <v>2059</v>
      </c>
      <c r="X119" t="str">
        <f t="shared" si="19"/>
        <v>Correct</v>
      </c>
    </row>
    <row r="120" spans="1:24" x14ac:dyDescent="0.3">
      <c r="A120" t="s">
        <v>318</v>
      </c>
      <c r="B120" s="3">
        <v>45707</v>
      </c>
      <c r="C120" t="s">
        <v>319</v>
      </c>
      <c r="D120" t="s">
        <v>63</v>
      </c>
      <c r="E120" t="s">
        <v>21</v>
      </c>
      <c r="F120">
        <v>58</v>
      </c>
      <c r="G120" t="s">
        <v>22</v>
      </c>
      <c r="H120" t="s">
        <v>33</v>
      </c>
      <c r="I120" t="s">
        <v>54</v>
      </c>
      <c r="J120" t="s">
        <v>55</v>
      </c>
      <c r="K120">
        <v>5</v>
      </c>
      <c r="L120" t="str">
        <f t="shared" si="15"/>
        <v>Valid</v>
      </c>
      <c r="M120" s="9">
        <v>1089</v>
      </c>
      <c r="N120" s="9">
        <v>70</v>
      </c>
      <c r="O120" s="9">
        <v>6</v>
      </c>
      <c r="P120" t="s">
        <v>26</v>
      </c>
      <c r="Q120" t="s">
        <v>43</v>
      </c>
      <c r="R120" t="s">
        <v>37</v>
      </c>
      <c r="S120" t="str">
        <f t="shared" si="16"/>
        <v>OK</v>
      </c>
      <c r="T120">
        <v>1</v>
      </c>
      <c r="U120" t="str">
        <f t="shared" si="17"/>
        <v>OK</v>
      </c>
      <c r="V120" s="5">
        <v>5381</v>
      </c>
      <c r="W120" s="5">
        <f t="shared" si="18"/>
        <v>5381</v>
      </c>
      <c r="X120" t="str">
        <f t="shared" si="19"/>
        <v>Correct</v>
      </c>
    </row>
    <row r="121" spans="1:24" x14ac:dyDescent="0.3">
      <c r="A121" t="s">
        <v>320</v>
      </c>
      <c r="B121" s="3">
        <v>45756</v>
      </c>
      <c r="C121" t="s">
        <v>321</v>
      </c>
      <c r="D121" t="s">
        <v>75</v>
      </c>
      <c r="E121" t="s">
        <v>31</v>
      </c>
      <c r="F121">
        <v>26</v>
      </c>
      <c r="G121" t="s">
        <v>482</v>
      </c>
      <c r="H121" t="s">
        <v>23</v>
      </c>
      <c r="I121" t="s">
        <v>34</v>
      </c>
      <c r="J121" t="s">
        <v>55</v>
      </c>
      <c r="K121">
        <v>6</v>
      </c>
      <c r="L121" t="str">
        <f t="shared" si="15"/>
        <v>Valid</v>
      </c>
      <c r="M121" s="9">
        <v>1395</v>
      </c>
      <c r="N121" s="9">
        <v>80</v>
      </c>
      <c r="O121" s="9">
        <v>11</v>
      </c>
      <c r="P121" t="s">
        <v>49</v>
      </c>
      <c r="Q121" t="s">
        <v>43</v>
      </c>
      <c r="R121" t="s">
        <v>44</v>
      </c>
      <c r="S121" t="str">
        <f t="shared" si="16"/>
        <v>Check Return</v>
      </c>
      <c r="T121">
        <v>3</v>
      </c>
      <c r="U121" t="str">
        <f t="shared" si="17"/>
        <v>OK</v>
      </c>
      <c r="V121" s="5">
        <v>8301</v>
      </c>
      <c r="W121" s="5">
        <f t="shared" si="18"/>
        <v>8301</v>
      </c>
      <c r="X121" t="str">
        <f t="shared" si="19"/>
        <v>Correct</v>
      </c>
    </row>
    <row r="122" spans="1:24" x14ac:dyDescent="0.3">
      <c r="A122" t="s">
        <v>322</v>
      </c>
      <c r="B122" s="3">
        <v>45757</v>
      </c>
      <c r="C122" t="s">
        <v>323</v>
      </c>
      <c r="D122" t="s">
        <v>63</v>
      </c>
      <c r="E122" t="s">
        <v>21</v>
      </c>
      <c r="F122">
        <v>36</v>
      </c>
      <c r="G122" t="s">
        <v>32</v>
      </c>
      <c r="H122" t="s">
        <v>71</v>
      </c>
      <c r="I122" t="s">
        <v>54</v>
      </c>
      <c r="J122" t="s">
        <v>42</v>
      </c>
      <c r="K122">
        <v>2</v>
      </c>
      <c r="L122" t="str">
        <f t="shared" si="15"/>
        <v>Valid</v>
      </c>
      <c r="M122" s="9">
        <v>326</v>
      </c>
      <c r="N122" s="9">
        <v>8</v>
      </c>
      <c r="O122" s="9">
        <v>50</v>
      </c>
      <c r="P122" t="s">
        <v>49</v>
      </c>
      <c r="Q122" t="s">
        <v>27</v>
      </c>
      <c r="R122" t="s">
        <v>28</v>
      </c>
      <c r="S122" t="str">
        <f t="shared" si="16"/>
        <v>OK</v>
      </c>
      <c r="T122">
        <v>1</v>
      </c>
      <c r="U122" t="str">
        <f t="shared" si="17"/>
        <v>OK</v>
      </c>
      <c r="V122" s="5">
        <v>694</v>
      </c>
      <c r="W122" s="5">
        <f t="shared" si="18"/>
        <v>694</v>
      </c>
      <c r="X122" t="str">
        <f t="shared" si="19"/>
        <v>Correct</v>
      </c>
    </row>
    <row r="123" spans="1:24" x14ac:dyDescent="0.3">
      <c r="A123" t="s">
        <v>324</v>
      </c>
      <c r="B123" s="3">
        <v>45754</v>
      </c>
      <c r="C123" t="s">
        <v>325</v>
      </c>
      <c r="D123" t="s">
        <v>20</v>
      </c>
      <c r="E123" t="s">
        <v>21</v>
      </c>
      <c r="F123">
        <v>36</v>
      </c>
      <c r="G123" t="s">
        <v>22</v>
      </c>
      <c r="H123" t="s">
        <v>103</v>
      </c>
      <c r="I123" t="s">
        <v>54</v>
      </c>
      <c r="J123" t="s">
        <v>175</v>
      </c>
      <c r="K123">
        <v>5</v>
      </c>
      <c r="L123" t="str">
        <f t="shared" si="15"/>
        <v>Valid</v>
      </c>
      <c r="M123" s="9">
        <v>1019</v>
      </c>
      <c r="N123" s="9">
        <v>32</v>
      </c>
      <c r="O123" s="9">
        <v>7</v>
      </c>
      <c r="P123" t="s">
        <v>26</v>
      </c>
      <c r="Q123" t="s">
        <v>27</v>
      </c>
      <c r="R123" t="s">
        <v>44</v>
      </c>
      <c r="S123" t="str">
        <f t="shared" si="16"/>
        <v>Check Return</v>
      </c>
      <c r="T123">
        <v>3</v>
      </c>
      <c r="U123" t="str">
        <f t="shared" si="17"/>
        <v>OK</v>
      </c>
      <c r="V123" s="5">
        <v>5070</v>
      </c>
      <c r="W123" s="5">
        <f t="shared" si="18"/>
        <v>5070</v>
      </c>
      <c r="X123" t="str">
        <f t="shared" si="19"/>
        <v>Correct</v>
      </c>
    </row>
    <row r="124" spans="1:24" x14ac:dyDescent="0.3">
      <c r="A124" t="s">
        <v>326</v>
      </c>
      <c r="B124" s="3">
        <v>45681</v>
      </c>
      <c r="C124" t="s">
        <v>327</v>
      </c>
      <c r="D124" t="s">
        <v>63</v>
      </c>
      <c r="E124" t="s">
        <v>31</v>
      </c>
      <c r="F124">
        <v>41</v>
      </c>
      <c r="G124" t="s">
        <v>32</v>
      </c>
      <c r="H124" t="s">
        <v>41</v>
      </c>
      <c r="I124" t="s">
        <v>24</v>
      </c>
      <c r="J124" t="s">
        <v>55</v>
      </c>
      <c r="K124">
        <v>4</v>
      </c>
      <c r="L124" t="str">
        <f t="shared" si="15"/>
        <v>Valid</v>
      </c>
      <c r="M124" s="9">
        <v>950</v>
      </c>
      <c r="N124" s="9">
        <v>49</v>
      </c>
      <c r="O124" s="9">
        <v>26</v>
      </c>
      <c r="P124" t="s">
        <v>78</v>
      </c>
      <c r="Q124" t="s">
        <v>43</v>
      </c>
      <c r="R124" t="s">
        <v>28</v>
      </c>
      <c r="S124" t="str">
        <f t="shared" si="16"/>
        <v>OK</v>
      </c>
      <c r="T124">
        <v>4</v>
      </c>
      <c r="U124" t="str">
        <f t="shared" si="17"/>
        <v>OK</v>
      </c>
      <c r="V124" s="5">
        <v>3777</v>
      </c>
      <c r="W124" s="5">
        <f t="shared" si="18"/>
        <v>3777</v>
      </c>
      <c r="X124" t="str">
        <f t="shared" si="19"/>
        <v>Correct</v>
      </c>
    </row>
    <row r="125" spans="1:24" x14ac:dyDescent="0.3">
      <c r="A125" t="s">
        <v>328</v>
      </c>
      <c r="B125" s="3">
        <v>45668</v>
      </c>
      <c r="C125" t="s">
        <v>329</v>
      </c>
      <c r="D125" t="s">
        <v>52</v>
      </c>
      <c r="E125" t="s">
        <v>31</v>
      </c>
      <c r="F125">
        <v>37</v>
      </c>
      <c r="G125" t="s">
        <v>22</v>
      </c>
      <c r="H125" t="s">
        <v>47</v>
      </c>
      <c r="I125" t="s">
        <v>34</v>
      </c>
      <c r="J125" t="s">
        <v>48</v>
      </c>
      <c r="K125">
        <v>5</v>
      </c>
      <c r="L125" t="str">
        <f t="shared" si="15"/>
        <v>Valid</v>
      </c>
      <c r="M125" s="9">
        <v>651</v>
      </c>
      <c r="N125" s="9">
        <v>41</v>
      </c>
      <c r="O125" s="9">
        <v>11</v>
      </c>
      <c r="P125" t="s">
        <v>26</v>
      </c>
      <c r="Q125" t="s">
        <v>36</v>
      </c>
      <c r="R125" t="s">
        <v>44</v>
      </c>
      <c r="S125" t="str">
        <f t="shared" si="16"/>
        <v>Check Return</v>
      </c>
      <c r="T125">
        <v>4</v>
      </c>
      <c r="U125" t="str">
        <f t="shared" si="17"/>
        <v>OK</v>
      </c>
      <c r="V125" s="5">
        <v>3225</v>
      </c>
      <c r="W125" s="5">
        <f t="shared" si="18"/>
        <v>3225</v>
      </c>
      <c r="X125" t="str">
        <f t="shared" si="19"/>
        <v>Correct</v>
      </c>
    </row>
    <row r="126" spans="1:24" x14ac:dyDescent="0.3">
      <c r="A126" t="s">
        <v>330</v>
      </c>
      <c r="B126" s="3">
        <v>45693</v>
      </c>
      <c r="C126" t="s">
        <v>331</v>
      </c>
      <c r="D126" t="s">
        <v>20</v>
      </c>
      <c r="E126" t="s">
        <v>21</v>
      </c>
      <c r="F126">
        <v>22</v>
      </c>
      <c r="G126" t="s">
        <v>481</v>
      </c>
      <c r="H126" t="s">
        <v>41</v>
      </c>
      <c r="I126" t="s">
        <v>34</v>
      </c>
      <c r="J126" t="s">
        <v>42</v>
      </c>
      <c r="K126">
        <v>1</v>
      </c>
      <c r="L126" t="str">
        <f t="shared" si="15"/>
        <v>Valid</v>
      </c>
      <c r="M126" s="9">
        <v>772</v>
      </c>
      <c r="N126" s="9">
        <v>78</v>
      </c>
      <c r="O126" s="9">
        <v>32</v>
      </c>
      <c r="P126" t="s">
        <v>78</v>
      </c>
      <c r="Q126" t="s">
        <v>134</v>
      </c>
      <c r="R126" t="s">
        <v>37</v>
      </c>
      <c r="S126" t="str">
        <f t="shared" si="16"/>
        <v>OK</v>
      </c>
      <c r="T126">
        <v>5</v>
      </c>
      <c r="U126" t="str">
        <f t="shared" si="17"/>
        <v>OK</v>
      </c>
      <c r="V126" s="5">
        <v>726</v>
      </c>
      <c r="W126" s="5">
        <f t="shared" si="18"/>
        <v>726</v>
      </c>
      <c r="X126" t="str">
        <f t="shared" si="19"/>
        <v>Correct</v>
      </c>
    </row>
    <row r="127" spans="1:24" x14ac:dyDescent="0.3">
      <c r="A127" t="s">
        <v>332</v>
      </c>
      <c r="B127" s="3">
        <v>45666</v>
      </c>
      <c r="C127" t="s">
        <v>333</v>
      </c>
      <c r="D127" t="s">
        <v>81</v>
      </c>
      <c r="E127" t="s">
        <v>31</v>
      </c>
      <c r="F127">
        <v>41</v>
      </c>
      <c r="G127" t="s">
        <v>22</v>
      </c>
      <c r="H127" t="s">
        <v>59</v>
      </c>
      <c r="I127" t="s">
        <v>34</v>
      </c>
      <c r="J127" t="s">
        <v>154</v>
      </c>
      <c r="K127">
        <v>6</v>
      </c>
      <c r="L127" t="str">
        <f t="shared" si="15"/>
        <v>Valid</v>
      </c>
      <c r="M127" s="9">
        <v>947</v>
      </c>
      <c r="N127" s="9">
        <v>4</v>
      </c>
      <c r="O127" s="9">
        <v>13</v>
      </c>
      <c r="P127" t="s">
        <v>26</v>
      </c>
      <c r="Q127" t="s">
        <v>36</v>
      </c>
      <c r="R127" t="s">
        <v>28</v>
      </c>
      <c r="S127" t="str">
        <f t="shared" si="16"/>
        <v>OK</v>
      </c>
      <c r="T127">
        <v>5</v>
      </c>
      <c r="U127" t="str">
        <f t="shared" si="17"/>
        <v>OK</v>
      </c>
      <c r="V127" s="5">
        <v>5691</v>
      </c>
      <c r="W127" s="5">
        <f t="shared" si="18"/>
        <v>5691</v>
      </c>
      <c r="X127" t="str">
        <f t="shared" si="19"/>
        <v>Correct</v>
      </c>
    </row>
    <row r="128" spans="1:24" x14ac:dyDescent="0.3">
      <c r="A128" t="s">
        <v>334</v>
      </c>
      <c r="B128" s="3">
        <v>45725</v>
      </c>
      <c r="C128" t="s">
        <v>335</v>
      </c>
      <c r="D128" t="s">
        <v>52</v>
      </c>
      <c r="E128" t="s">
        <v>31</v>
      </c>
      <c r="F128">
        <v>38</v>
      </c>
      <c r="G128" t="s">
        <v>482</v>
      </c>
      <c r="H128" t="s">
        <v>41</v>
      </c>
      <c r="I128" t="s">
        <v>24</v>
      </c>
      <c r="J128" t="s">
        <v>42</v>
      </c>
      <c r="K128">
        <v>4</v>
      </c>
      <c r="L128" t="str">
        <f t="shared" si="15"/>
        <v>Valid</v>
      </c>
      <c r="M128" s="9">
        <v>207</v>
      </c>
      <c r="N128" s="9">
        <v>73</v>
      </c>
      <c r="O128" s="9">
        <v>13</v>
      </c>
      <c r="P128" t="s">
        <v>78</v>
      </c>
      <c r="Q128" t="s">
        <v>43</v>
      </c>
      <c r="R128" t="s">
        <v>28</v>
      </c>
      <c r="S128" t="str">
        <f t="shared" si="16"/>
        <v>OK</v>
      </c>
      <c r="T128">
        <v>1</v>
      </c>
      <c r="U128" t="str">
        <f t="shared" si="17"/>
        <v>OK</v>
      </c>
      <c r="V128" s="5">
        <v>768</v>
      </c>
      <c r="W128" s="5">
        <f t="shared" si="18"/>
        <v>768</v>
      </c>
      <c r="X128" t="str">
        <f t="shared" si="19"/>
        <v>Correct</v>
      </c>
    </row>
    <row r="129" spans="1:24" x14ac:dyDescent="0.3">
      <c r="A129" t="s">
        <v>336</v>
      </c>
      <c r="B129" s="3">
        <v>45757</v>
      </c>
      <c r="C129" t="s">
        <v>337</v>
      </c>
      <c r="D129" t="s">
        <v>52</v>
      </c>
      <c r="E129" t="s">
        <v>31</v>
      </c>
      <c r="F129">
        <v>31</v>
      </c>
      <c r="G129" t="s">
        <v>481</v>
      </c>
      <c r="H129" t="s">
        <v>71</v>
      </c>
      <c r="I129" t="s">
        <v>34</v>
      </c>
      <c r="J129" t="s">
        <v>168</v>
      </c>
      <c r="K129">
        <v>4</v>
      </c>
      <c r="L129" t="str">
        <f t="shared" si="15"/>
        <v>Valid</v>
      </c>
      <c r="M129" s="9">
        <v>1200</v>
      </c>
      <c r="N129" s="9">
        <v>15</v>
      </c>
      <c r="O129" s="9">
        <v>21</v>
      </c>
      <c r="P129" t="s">
        <v>78</v>
      </c>
      <c r="Q129" t="s">
        <v>43</v>
      </c>
      <c r="R129" t="s">
        <v>44</v>
      </c>
      <c r="S129" t="str">
        <f t="shared" si="16"/>
        <v>Check Return</v>
      </c>
      <c r="T129">
        <v>4</v>
      </c>
      <c r="U129" t="str">
        <f t="shared" si="17"/>
        <v>OK</v>
      </c>
      <c r="V129" s="5">
        <v>4806</v>
      </c>
      <c r="W129" s="5">
        <f t="shared" si="18"/>
        <v>4806</v>
      </c>
      <c r="X129" t="str">
        <f t="shared" si="19"/>
        <v>Correct</v>
      </c>
    </row>
    <row r="130" spans="1:24" x14ac:dyDescent="0.3">
      <c r="A130" t="s">
        <v>338</v>
      </c>
      <c r="B130" s="3">
        <v>45669</v>
      </c>
      <c r="C130" t="s">
        <v>339</v>
      </c>
      <c r="D130" t="s">
        <v>20</v>
      </c>
      <c r="E130" t="s">
        <v>31</v>
      </c>
      <c r="F130">
        <v>60</v>
      </c>
      <c r="G130" t="s">
        <v>481</v>
      </c>
      <c r="H130" t="s">
        <v>53</v>
      </c>
      <c r="I130" t="s">
        <v>54</v>
      </c>
      <c r="J130" t="s">
        <v>154</v>
      </c>
      <c r="K130">
        <v>4</v>
      </c>
      <c r="L130" t="str">
        <f t="shared" ref="L130:L161" si="20">IF(K130&lt;0,"Invalid","Valid")</f>
        <v>Valid</v>
      </c>
      <c r="M130" s="9">
        <v>403</v>
      </c>
      <c r="N130" s="9">
        <v>91</v>
      </c>
      <c r="O130" s="9">
        <v>33</v>
      </c>
      <c r="P130" t="s">
        <v>26</v>
      </c>
      <c r="Q130" t="s">
        <v>27</v>
      </c>
      <c r="R130" t="s">
        <v>44</v>
      </c>
      <c r="S130" t="str">
        <f t="shared" ref="S130:S161" si="21">IF(AND(R130="Returned",V130&gt;0),"Check Return","OK")</f>
        <v>Check Return</v>
      </c>
      <c r="T130">
        <v>5</v>
      </c>
      <c r="U130" t="str">
        <f t="shared" ref="U130:U161" si="22">IF(T130&gt;5,"Invalid Rating","OK")</f>
        <v>OK</v>
      </c>
      <c r="V130" s="5">
        <v>1554</v>
      </c>
      <c r="W130" s="5">
        <f t="shared" ref="W130:W161" si="23">(K130*M130)-N130+O130</f>
        <v>1554</v>
      </c>
      <c r="X130" t="str">
        <f t="shared" ref="X130:X161" si="24">IF(V130=W130,"Correct","Mismatch")</f>
        <v>Correct</v>
      </c>
    </row>
    <row r="131" spans="1:24" x14ac:dyDescent="0.3">
      <c r="A131" t="s">
        <v>340</v>
      </c>
      <c r="B131" s="3">
        <v>45759</v>
      </c>
      <c r="C131" t="s">
        <v>341</v>
      </c>
      <c r="D131" t="s">
        <v>52</v>
      </c>
      <c r="E131" t="s">
        <v>21</v>
      </c>
      <c r="F131">
        <v>25</v>
      </c>
      <c r="G131" t="s">
        <v>32</v>
      </c>
      <c r="H131" t="s">
        <v>59</v>
      </c>
      <c r="I131" t="s">
        <v>24</v>
      </c>
      <c r="J131" t="s">
        <v>175</v>
      </c>
      <c r="K131">
        <v>6</v>
      </c>
      <c r="L131" t="str">
        <f t="shared" si="20"/>
        <v>Valid</v>
      </c>
      <c r="M131" s="9">
        <v>1484</v>
      </c>
      <c r="N131" s="9">
        <v>81</v>
      </c>
      <c r="O131" s="9">
        <v>16</v>
      </c>
      <c r="P131" t="s">
        <v>49</v>
      </c>
      <c r="Q131" t="s">
        <v>56</v>
      </c>
      <c r="R131" t="s">
        <v>28</v>
      </c>
      <c r="S131" t="str">
        <f t="shared" si="21"/>
        <v>OK</v>
      </c>
      <c r="T131">
        <v>4</v>
      </c>
      <c r="U131" t="str">
        <f t="shared" si="22"/>
        <v>OK</v>
      </c>
      <c r="V131" s="5">
        <v>8839</v>
      </c>
      <c r="W131" s="5">
        <f t="shared" si="23"/>
        <v>8839</v>
      </c>
      <c r="X131" t="str">
        <f t="shared" si="24"/>
        <v>Correct</v>
      </c>
    </row>
    <row r="132" spans="1:24" x14ac:dyDescent="0.3">
      <c r="A132" t="s">
        <v>342</v>
      </c>
      <c r="B132" s="3">
        <v>45736</v>
      </c>
      <c r="C132" t="s">
        <v>343</v>
      </c>
      <c r="D132" t="s">
        <v>40</v>
      </c>
      <c r="E132" t="s">
        <v>21</v>
      </c>
      <c r="F132">
        <v>37</v>
      </c>
      <c r="G132" t="s">
        <v>64</v>
      </c>
      <c r="H132" t="s">
        <v>33</v>
      </c>
      <c r="I132" t="s">
        <v>66</v>
      </c>
      <c r="J132" t="s">
        <v>83</v>
      </c>
      <c r="K132">
        <v>3</v>
      </c>
      <c r="L132" t="str">
        <f t="shared" si="20"/>
        <v>Valid</v>
      </c>
      <c r="M132" s="9">
        <v>1007</v>
      </c>
      <c r="N132" s="9">
        <v>70</v>
      </c>
      <c r="O132" s="9">
        <v>13</v>
      </c>
      <c r="P132" t="s">
        <v>26</v>
      </c>
      <c r="Q132" t="s">
        <v>134</v>
      </c>
      <c r="R132" t="s">
        <v>44</v>
      </c>
      <c r="S132" t="str">
        <f t="shared" si="21"/>
        <v>Check Return</v>
      </c>
      <c r="T132">
        <v>4</v>
      </c>
      <c r="U132" t="str">
        <f t="shared" si="22"/>
        <v>OK</v>
      </c>
      <c r="V132" s="5">
        <v>2964</v>
      </c>
      <c r="W132" s="5">
        <f t="shared" si="23"/>
        <v>2964</v>
      </c>
      <c r="X132" t="str">
        <f t="shared" si="24"/>
        <v>Correct</v>
      </c>
    </row>
    <row r="133" spans="1:24" x14ac:dyDescent="0.3">
      <c r="A133" t="s">
        <v>344</v>
      </c>
      <c r="B133" s="3">
        <v>45717</v>
      </c>
      <c r="C133" t="s">
        <v>345</v>
      </c>
      <c r="D133" t="s">
        <v>20</v>
      </c>
      <c r="E133" t="s">
        <v>31</v>
      </c>
      <c r="F133">
        <v>26</v>
      </c>
      <c r="G133" t="s">
        <v>64</v>
      </c>
      <c r="H133" t="s">
        <v>65</v>
      </c>
      <c r="I133" t="s">
        <v>66</v>
      </c>
      <c r="J133" t="s">
        <v>77</v>
      </c>
      <c r="K133">
        <v>3</v>
      </c>
      <c r="L133" t="str">
        <f t="shared" si="20"/>
        <v>Valid</v>
      </c>
      <c r="M133" s="9">
        <v>1365</v>
      </c>
      <c r="N133" s="9">
        <v>9</v>
      </c>
      <c r="O133" s="9">
        <v>33</v>
      </c>
      <c r="P133" t="s">
        <v>78</v>
      </c>
      <c r="Q133" t="s">
        <v>36</v>
      </c>
      <c r="R133" t="s">
        <v>28</v>
      </c>
      <c r="S133" t="str">
        <f t="shared" si="21"/>
        <v>OK</v>
      </c>
      <c r="T133">
        <v>2</v>
      </c>
      <c r="U133" t="str">
        <f t="shared" si="22"/>
        <v>OK</v>
      </c>
      <c r="V133" s="5">
        <v>4119</v>
      </c>
      <c r="W133" s="5">
        <f t="shared" si="23"/>
        <v>4119</v>
      </c>
      <c r="X133" t="str">
        <f t="shared" si="24"/>
        <v>Correct</v>
      </c>
    </row>
    <row r="134" spans="1:24" x14ac:dyDescent="0.3">
      <c r="A134" t="s">
        <v>346</v>
      </c>
      <c r="B134" s="3">
        <v>45678</v>
      </c>
      <c r="C134" t="s">
        <v>347</v>
      </c>
      <c r="D134" t="s">
        <v>52</v>
      </c>
      <c r="E134" t="s">
        <v>21</v>
      </c>
      <c r="F134">
        <v>40</v>
      </c>
      <c r="G134" t="s">
        <v>22</v>
      </c>
      <c r="H134" t="s">
        <v>65</v>
      </c>
      <c r="I134" t="s">
        <v>34</v>
      </c>
      <c r="J134" t="s">
        <v>77</v>
      </c>
      <c r="K134">
        <v>5</v>
      </c>
      <c r="L134" t="str">
        <f t="shared" si="20"/>
        <v>Valid</v>
      </c>
      <c r="M134" s="9">
        <v>363</v>
      </c>
      <c r="N134" s="9">
        <v>38</v>
      </c>
      <c r="O134" s="9">
        <v>15</v>
      </c>
      <c r="P134" t="s">
        <v>78</v>
      </c>
      <c r="Q134" t="s">
        <v>43</v>
      </c>
      <c r="R134" t="s">
        <v>28</v>
      </c>
      <c r="S134" t="str">
        <f t="shared" si="21"/>
        <v>OK</v>
      </c>
      <c r="T134">
        <v>3</v>
      </c>
      <c r="U134" t="str">
        <f t="shared" si="22"/>
        <v>OK</v>
      </c>
      <c r="V134" s="5">
        <v>1792</v>
      </c>
      <c r="W134" s="5">
        <f t="shared" si="23"/>
        <v>1792</v>
      </c>
      <c r="X134" t="str">
        <f t="shared" si="24"/>
        <v>Correct</v>
      </c>
    </row>
    <row r="135" spans="1:24" x14ac:dyDescent="0.3">
      <c r="A135" t="s">
        <v>348</v>
      </c>
      <c r="B135" s="3">
        <v>45669</v>
      </c>
      <c r="C135" t="s">
        <v>349</v>
      </c>
      <c r="D135" t="s">
        <v>75</v>
      </c>
      <c r="E135" t="s">
        <v>21</v>
      </c>
      <c r="F135">
        <v>55</v>
      </c>
      <c r="G135" t="s">
        <v>64</v>
      </c>
      <c r="H135" t="s">
        <v>23</v>
      </c>
      <c r="I135" t="s">
        <v>54</v>
      </c>
      <c r="J135" t="s">
        <v>93</v>
      </c>
      <c r="K135">
        <v>6</v>
      </c>
      <c r="L135" t="str">
        <f t="shared" si="20"/>
        <v>Valid</v>
      </c>
      <c r="M135" s="9">
        <v>670</v>
      </c>
      <c r="N135" s="9">
        <v>78</v>
      </c>
      <c r="O135" s="9">
        <v>39</v>
      </c>
      <c r="P135" t="s">
        <v>78</v>
      </c>
      <c r="Q135" t="s">
        <v>56</v>
      </c>
      <c r="R135" t="s">
        <v>28</v>
      </c>
      <c r="S135" t="str">
        <f t="shared" si="21"/>
        <v>OK</v>
      </c>
      <c r="T135">
        <v>5</v>
      </c>
      <c r="U135" t="str">
        <f t="shared" si="22"/>
        <v>OK</v>
      </c>
      <c r="V135" s="5">
        <v>3981</v>
      </c>
      <c r="W135" s="5">
        <f t="shared" si="23"/>
        <v>3981</v>
      </c>
      <c r="X135" t="str">
        <f t="shared" si="24"/>
        <v>Correct</v>
      </c>
    </row>
    <row r="136" spans="1:24" x14ac:dyDescent="0.3">
      <c r="A136" t="s">
        <v>350</v>
      </c>
      <c r="B136" s="3">
        <v>45691</v>
      </c>
      <c r="C136" t="s">
        <v>351</v>
      </c>
      <c r="D136" t="s">
        <v>20</v>
      </c>
      <c r="E136" t="s">
        <v>21</v>
      </c>
      <c r="F136">
        <v>54</v>
      </c>
      <c r="G136" t="s">
        <v>22</v>
      </c>
      <c r="H136" t="s">
        <v>65</v>
      </c>
      <c r="I136" t="s">
        <v>66</v>
      </c>
      <c r="J136" t="s">
        <v>72</v>
      </c>
      <c r="K136">
        <v>1</v>
      </c>
      <c r="L136" t="str">
        <f t="shared" si="20"/>
        <v>Valid</v>
      </c>
      <c r="M136" s="9">
        <v>143</v>
      </c>
      <c r="N136" s="9">
        <v>82</v>
      </c>
      <c r="O136" s="9">
        <v>41</v>
      </c>
      <c r="P136" t="s">
        <v>26</v>
      </c>
      <c r="Q136" t="s">
        <v>36</v>
      </c>
      <c r="R136" t="s">
        <v>44</v>
      </c>
      <c r="S136" t="str">
        <f t="shared" si="21"/>
        <v>Check Return</v>
      </c>
      <c r="T136">
        <v>1</v>
      </c>
      <c r="U136" t="str">
        <f t="shared" si="22"/>
        <v>OK</v>
      </c>
      <c r="V136" s="5">
        <v>102</v>
      </c>
      <c r="W136" s="5">
        <f t="shared" si="23"/>
        <v>102</v>
      </c>
      <c r="X136" t="str">
        <f t="shared" si="24"/>
        <v>Correct</v>
      </c>
    </row>
    <row r="137" spans="1:24" x14ac:dyDescent="0.3">
      <c r="A137" t="s">
        <v>352</v>
      </c>
      <c r="B137" s="3">
        <v>45709</v>
      </c>
      <c r="C137" t="s">
        <v>353</v>
      </c>
      <c r="D137" t="s">
        <v>52</v>
      </c>
      <c r="E137" t="s">
        <v>31</v>
      </c>
      <c r="F137">
        <v>22</v>
      </c>
      <c r="G137" t="s">
        <v>482</v>
      </c>
      <c r="H137" t="s">
        <v>159</v>
      </c>
      <c r="I137" t="s">
        <v>66</v>
      </c>
      <c r="J137" t="s">
        <v>77</v>
      </c>
      <c r="K137">
        <v>3</v>
      </c>
      <c r="L137" t="str">
        <f t="shared" si="20"/>
        <v>Valid</v>
      </c>
      <c r="M137" s="9">
        <v>1039</v>
      </c>
      <c r="N137" s="9">
        <v>31</v>
      </c>
      <c r="O137" s="9">
        <v>48</v>
      </c>
      <c r="P137" t="s">
        <v>78</v>
      </c>
      <c r="Q137" t="s">
        <v>27</v>
      </c>
      <c r="R137" t="s">
        <v>28</v>
      </c>
      <c r="S137" t="str">
        <f t="shared" si="21"/>
        <v>OK</v>
      </c>
      <c r="T137">
        <v>4</v>
      </c>
      <c r="U137" t="str">
        <f t="shared" si="22"/>
        <v>OK</v>
      </c>
      <c r="V137" s="5">
        <v>3134</v>
      </c>
      <c r="W137" s="5">
        <f t="shared" si="23"/>
        <v>3134</v>
      </c>
      <c r="X137" t="str">
        <f t="shared" si="24"/>
        <v>Correct</v>
      </c>
    </row>
    <row r="138" spans="1:24" x14ac:dyDescent="0.3">
      <c r="A138" t="s">
        <v>354</v>
      </c>
      <c r="B138" s="3">
        <v>45768</v>
      </c>
      <c r="C138" t="s">
        <v>355</v>
      </c>
      <c r="D138" t="s">
        <v>20</v>
      </c>
      <c r="E138" t="s">
        <v>31</v>
      </c>
      <c r="F138">
        <v>40</v>
      </c>
      <c r="G138" t="s">
        <v>481</v>
      </c>
      <c r="H138" t="s">
        <v>82</v>
      </c>
      <c r="I138" t="s">
        <v>24</v>
      </c>
      <c r="J138" t="s">
        <v>191</v>
      </c>
      <c r="K138">
        <v>3</v>
      </c>
      <c r="L138" t="str">
        <f t="shared" si="20"/>
        <v>Valid</v>
      </c>
      <c r="M138" s="9">
        <v>1292</v>
      </c>
      <c r="N138" s="9">
        <v>18</v>
      </c>
      <c r="O138" s="9">
        <v>25</v>
      </c>
      <c r="P138" t="s">
        <v>26</v>
      </c>
      <c r="Q138" t="s">
        <v>56</v>
      </c>
      <c r="R138" t="s">
        <v>37</v>
      </c>
      <c r="S138" t="str">
        <f t="shared" si="21"/>
        <v>OK</v>
      </c>
      <c r="T138">
        <v>5</v>
      </c>
      <c r="U138" t="str">
        <f t="shared" si="22"/>
        <v>OK</v>
      </c>
      <c r="V138" s="5">
        <v>3883</v>
      </c>
      <c r="W138" s="5">
        <f t="shared" si="23"/>
        <v>3883</v>
      </c>
      <c r="X138" t="str">
        <f t="shared" si="24"/>
        <v>Correct</v>
      </c>
    </row>
    <row r="139" spans="1:24" x14ac:dyDescent="0.3">
      <c r="A139" t="s">
        <v>356</v>
      </c>
      <c r="B139" s="3">
        <v>45676</v>
      </c>
      <c r="C139" t="s">
        <v>357</v>
      </c>
      <c r="D139" t="s">
        <v>40</v>
      </c>
      <c r="E139" t="s">
        <v>21</v>
      </c>
      <c r="F139">
        <v>36</v>
      </c>
      <c r="G139" t="s">
        <v>32</v>
      </c>
      <c r="H139" t="s">
        <v>119</v>
      </c>
      <c r="I139" t="s">
        <v>34</v>
      </c>
      <c r="J139" t="s">
        <v>83</v>
      </c>
      <c r="K139">
        <v>1</v>
      </c>
      <c r="L139" t="str">
        <f t="shared" si="20"/>
        <v>Valid</v>
      </c>
      <c r="M139" s="9">
        <v>597</v>
      </c>
      <c r="N139" s="9">
        <v>57</v>
      </c>
      <c r="O139" s="9">
        <v>20</v>
      </c>
      <c r="P139" t="s">
        <v>26</v>
      </c>
      <c r="Q139" t="s">
        <v>36</v>
      </c>
      <c r="R139" t="s">
        <v>37</v>
      </c>
      <c r="S139" t="str">
        <f t="shared" si="21"/>
        <v>OK</v>
      </c>
      <c r="T139">
        <v>2</v>
      </c>
      <c r="U139" t="str">
        <f t="shared" si="22"/>
        <v>OK</v>
      </c>
      <c r="V139" s="5">
        <v>560</v>
      </c>
      <c r="W139" s="5">
        <f t="shared" si="23"/>
        <v>560</v>
      </c>
      <c r="X139" t="str">
        <f t="shared" si="24"/>
        <v>Correct</v>
      </c>
    </row>
    <row r="140" spans="1:24" x14ac:dyDescent="0.3">
      <c r="A140" t="s">
        <v>358</v>
      </c>
      <c r="B140" s="3">
        <v>45721</v>
      </c>
      <c r="C140" t="s">
        <v>359</v>
      </c>
      <c r="D140" t="s">
        <v>75</v>
      </c>
      <c r="E140" t="s">
        <v>31</v>
      </c>
      <c r="F140">
        <v>49</v>
      </c>
      <c r="G140" t="s">
        <v>482</v>
      </c>
      <c r="H140" t="s">
        <v>33</v>
      </c>
      <c r="I140" t="s">
        <v>66</v>
      </c>
      <c r="J140" t="s">
        <v>86</v>
      </c>
      <c r="K140">
        <v>3</v>
      </c>
      <c r="L140" t="str">
        <f t="shared" si="20"/>
        <v>Valid</v>
      </c>
      <c r="M140" s="9">
        <v>438</v>
      </c>
      <c r="N140" s="9">
        <v>97</v>
      </c>
      <c r="O140" s="9">
        <v>15</v>
      </c>
      <c r="P140" t="s">
        <v>26</v>
      </c>
      <c r="Q140" t="s">
        <v>134</v>
      </c>
      <c r="R140" t="s">
        <v>28</v>
      </c>
      <c r="S140" t="str">
        <f t="shared" si="21"/>
        <v>OK</v>
      </c>
      <c r="T140">
        <v>1</v>
      </c>
      <c r="U140" t="str">
        <f t="shared" si="22"/>
        <v>OK</v>
      </c>
      <c r="V140" s="5">
        <v>1232</v>
      </c>
      <c r="W140" s="5">
        <f t="shared" si="23"/>
        <v>1232</v>
      </c>
      <c r="X140" t="str">
        <f t="shared" si="24"/>
        <v>Correct</v>
      </c>
    </row>
    <row r="141" spans="1:24" x14ac:dyDescent="0.3">
      <c r="A141" t="s">
        <v>360</v>
      </c>
      <c r="B141" s="3">
        <v>45664</v>
      </c>
      <c r="C141" t="s">
        <v>361</v>
      </c>
      <c r="D141" t="s">
        <v>52</v>
      </c>
      <c r="E141" t="s">
        <v>31</v>
      </c>
      <c r="F141">
        <v>56</v>
      </c>
      <c r="G141" t="s">
        <v>482</v>
      </c>
      <c r="H141" t="s">
        <v>82</v>
      </c>
      <c r="I141" t="s">
        <v>24</v>
      </c>
      <c r="J141" t="s">
        <v>77</v>
      </c>
      <c r="K141">
        <v>2</v>
      </c>
      <c r="L141" t="str">
        <f t="shared" si="20"/>
        <v>Valid</v>
      </c>
      <c r="M141" s="9">
        <v>1244</v>
      </c>
      <c r="N141" s="9">
        <v>45</v>
      </c>
      <c r="O141" s="9">
        <v>8</v>
      </c>
      <c r="P141" t="s">
        <v>78</v>
      </c>
      <c r="Q141" t="s">
        <v>134</v>
      </c>
      <c r="R141" t="s">
        <v>37</v>
      </c>
      <c r="S141" t="str">
        <f t="shared" si="21"/>
        <v>OK</v>
      </c>
      <c r="T141">
        <v>5</v>
      </c>
      <c r="U141" t="str">
        <f t="shared" si="22"/>
        <v>OK</v>
      </c>
      <c r="V141" s="5">
        <v>2451</v>
      </c>
      <c r="W141" s="5">
        <f t="shared" si="23"/>
        <v>2451</v>
      </c>
      <c r="X141" t="str">
        <f t="shared" si="24"/>
        <v>Correct</v>
      </c>
    </row>
    <row r="142" spans="1:24" x14ac:dyDescent="0.3">
      <c r="A142" t="s">
        <v>362</v>
      </c>
      <c r="B142" s="3">
        <v>45704</v>
      </c>
      <c r="C142" t="s">
        <v>363</v>
      </c>
      <c r="D142" t="s">
        <v>40</v>
      </c>
      <c r="E142" t="s">
        <v>31</v>
      </c>
      <c r="F142">
        <v>21</v>
      </c>
      <c r="G142" t="s">
        <v>482</v>
      </c>
      <c r="H142" t="s">
        <v>82</v>
      </c>
      <c r="I142" t="s">
        <v>54</v>
      </c>
      <c r="J142" t="s">
        <v>25</v>
      </c>
      <c r="K142">
        <v>3</v>
      </c>
      <c r="L142" t="str">
        <f t="shared" si="20"/>
        <v>Valid</v>
      </c>
      <c r="M142" s="9">
        <v>799</v>
      </c>
      <c r="N142" s="9">
        <v>97</v>
      </c>
      <c r="O142" s="9">
        <v>30</v>
      </c>
      <c r="P142" t="s">
        <v>78</v>
      </c>
      <c r="Q142" t="s">
        <v>36</v>
      </c>
      <c r="R142" t="s">
        <v>28</v>
      </c>
      <c r="S142" t="str">
        <f t="shared" si="21"/>
        <v>OK</v>
      </c>
      <c r="T142">
        <v>3</v>
      </c>
      <c r="U142" t="str">
        <f t="shared" si="22"/>
        <v>OK</v>
      </c>
      <c r="V142" s="5">
        <v>2330</v>
      </c>
      <c r="W142" s="5">
        <f t="shared" si="23"/>
        <v>2330</v>
      </c>
      <c r="X142" t="str">
        <f t="shared" si="24"/>
        <v>Correct</v>
      </c>
    </row>
    <row r="143" spans="1:24" x14ac:dyDescent="0.3">
      <c r="A143" t="s">
        <v>364</v>
      </c>
      <c r="B143" s="3">
        <v>45745</v>
      </c>
      <c r="C143" t="s">
        <v>365</v>
      </c>
      <c r="D143" t="s">
        <v>75</v>
      </c>
      <c r="E143" t="s">
        <v>21</v>
      </c>
      <c r="F143">
        <v>26</v>
      </c>
      <c r="G143" t="s">
        <v>481</v>
      </c>
      <c r="H143" t="s">
        <v>71</v>
      </c>
      <c r="I143" t="s">
        <v>54</v>
      </c>
      <c r="J143" t="s">
        <v>55</v>
      </c>
      <c r="K143">
        <v>4</v>
      </c>
      <c r="L143" t="str">
        <f t="shared" si="20"/>
        <v>Valid</v>
      </c>
      <c r="M143" s="9">
        <v>1176</v>
      </c>
      <c r="N143" s="9">
        <v>35</v>
      </c>
      <c r="O143" s="9">
        <v>44</v>
      </c>
      <c r="P143" t="s">
        <v>49</v>
      </c>
      <c r="Q143" t="s">
        <v>134</v>
      </c>
      <c r="R143" t="s">
        <v>37</v>
      </c>
      <c r="S143" t="str">
        <f t="shared" si="21"/>
        <v>OK</v>
      </c>
      <c r="T143">
        <v>3</v>
      </c>
      <c r="U143" t="str">
        <f t="shared" si="22"/>
        <v>OK</v>
      </c>
      <c r="V143" s="5">
        <v>4713</v>
      </c>
      <c r="W143" s="5">
        <f t="shared" si="23"/>
        <v>4713</v>
      </c>
      <c r="X143" t="str">
        <f t="shared" si="24"/>
        <v>Correct</v>
      </c>
    </row>
    <row r="144" spans="1:24" x14ac:dyDescent="0.3">
      <c r="A144" t="s">
        <v>366</v>
      </c>
      <c r="B144" s="3">
        <v>45663</v>
      </c>
      <c r="C144" t="s">
        <v>367</v>
      </c>
      <c r="D144" t="s">
        <v>40</v>
      </c>
      <c r="E144" t="s">
        <v>21</v>
      </c>
      <c r="F144">
        <v>39</v>
      </c>
      <c r="G144" t="s">
        <v>32</v>
      </c>
      <c r="H144" t="s">
        <v>59</v>
      </c>
      <c r="I144" t="s">
        <v>34</v>
      </c>
      <c r="J144" t="s">
        <v>184</v>
      </c>
      <c r="K144">
        <v>5</v>
      </c>
      <c r="L144" t="str">
        <f t="shared" si="20"/>
        <v>Valid</v>
      </c>
      <c r="M144" s="9">
        <v>872</v>
      </c>
      <c r="N144" s="9">
        <v>64</v>
      </c>
      <c r="O144" s="9">
        <v>7</v>
      </c>
      <c r="P144" t="s">
        <v>26</v>
      </c>
      <c r="Q144" t="s">
        <v>36</v>
      </c>
      <c r="R144" t="s">
        <v>37</v>
      </c>
      <c r="S144" t="str">
        <f t="shared" si="21"/>
        <v>OK</v>
      </c>
      <c r="T144">
        <v>2</v>
      </c>
      <c r="U144" t="str">
        <f t="shared" si="22"/>
        <v>OK</v>
      </c>
      <c r="V144" s="5">
        <v>4303</v>
      </c>
      <c r="W144" s="5">
        <f t="shared" si="23"/>
        <v>4303</v>
      </c>
      <c r="X144" t="str">
        <f t="shared" si="24"/>
        <v>Correct</v>
      </c>
    </row>
    <row r="145" spans="1:24" x14ac:dyDescent="0.3">
      <c r="A145" t="s">
        <v>368</v>
      </c>
      <c r="B145" s="3">
        <v>45733</v>
      </c>
      <c r="C145" t="s">
        <v>369</v>
      </c>
      <c r="D145" t="s">
        <v>52</v>
      </c>
      <c r="E145" t="s">
        <v>31</v>
      </c>
      <c r="F145">
        <v>54</v>
      </c>
      <c r="G145" t="s">
        <v>482</v>
      </c>
      <c r="H145" t="s">
        <v>103</v>
      </c>
      <c r="I145" t="s">
        <v>54</v>
      </c>
      <c r="J145" t="s">
        <v>86</v>
      </c>
      <c r="K145">
        <v>2</v>
      </c>
      <c r="L145" t="str">
        <f t="shared" si="20"/>
        <v>Valid</v>
      </c>
      <c r="M145" s="9">
        <v>854</v>
      </c>
      <c r="N145" s="9">
        <v>78</v>
      </c>
      <c r="O145" s="9">
        <v>24</v>
      </c>
      <c r="P145" t="s">
        <v>26</v>
      </c>
      <c r="Q145" t="s">
        <v>134</v>
      </c>
      <c r="R145" t="s">
        <v>28</v>
      </c>
      <c r="S145" t="str">
        <f t="shared" si="21"/>
        <v>OK</v>
      </c>
      <c r="T145">
        <v>3</v>
      </c>
      <c r="U145" t="str">
        <f t="shared" si="22"/>
        <v>OK</v>
      </c>
      <c r="V145" s="5">
        <v>1654</v>
      </c>
      <c r="W145" s="5">
        <f t="shared" si="23"/>
        <v>1654</v>
      </c>
      <c r="X145" t="str">
        <f t="shared" si="24"/>
        <v>Correct</v>
      </c>
    </row>
    <row r="146" spans="1:24" x14ac:dyDescent="0.3">
      <c r="A146" t="s">
        <v>370</v>
      </c>
      <c r="B146" s="3">
        <v>45734</v>
      </c>
      <c r="C146" t="s">
        <v>371</v>
      </c>
      <c r="D146" t="s">
        <v>63</v>
      </c>
      <c r="E146" t="s">
        <v>31</v>
      </c>
      <c r="F146">
        <v>59</v>
      </c>
      <c r="G146" t="s">
        <v>32</v>
      </c>
      <c r="H146" t="s">
        <v>71</v>
      </c>
      <c r="I146" t="s">
        <v>66</v>
      </c>
      <c r="J146" t="s">
        <v>55</v>
      </c>
      <c r="K146">
        <v>3</v>
      </c>
      <c r="L146" t="str">
        <f t="shared" si="20"/>
        <v>Valid</v>
      </c>
      <c r="M146" s="9">
        <v>1459</v>
      </c>
      <c r="N146" s="9">
        <v>80</v>
      </c>
      <c r="O146" s="9">
        <v>6</v>
      </c>
      <c r="P146" t="s">
        <v>78</v>
      </c>
      <c r="Q146" t="s">
        <v>36</v>
      </c>
      <c r="R146" t="s">
        <v>28</v>
      </c>
      <c r="S146" t="str">
        <f t="shared" si="21"/>
        <v>OK</v>
      </c>
      <c r="T146">
        <v>1</v>
      </c>
      <c r="U146" t="str">
        <f t="shared" si="22"/>
        <v>OK</v>
      </c>
      <c r="V146" s="5">
        <v>4303</v>
      </c>
      <c r="W146" s="5">
        <f t="shared" si="23"/>
        <v>4303</v>
      </c>
      <c r="X146" t="str">
        <f t="shared" si="24"/>
        <v>Correct</v>
      </c>
    </row>
    <row r="147" spans="1:24" x14ac:dyDescent="0.3">
      <c r="A147" t="s">
        <v>372</v>
      </c>
      <c r="B147" s="3">
        <v>45676</v>
      </c>
      <c r="C147" t="s">
        <v>373</v>
      </c>
      <c r="D147" t="s">
        <v>20</v>
      </c>
      <c r="E147" t="s">
        <v>21</v>
      </c>
      <c r="F147">
        <v>20</v>
      </c>
      <c r="G147" t="s">
        <v>482</v>
      </c>
      <c r="H147" t="s">
        <v>33</v>
      </c>
      <c r="I147" t="s">
        <v>66</v>
      </c>
      <c r="J147" t="s">
        <v>96</v>
      </c>
      <c r="K147">
        <v>6</v>
      </c>
      <c r="L147" t="str">
        <f t="shared" si="20"/>
        <v>Valid</v>
      </c>
      <c r="M147" s="9">
        <v>1319</v>
      </c>
      <c r="N147" s="9">
        <v>99</v>
      </c>
      <c r="O147" s="9">
        <v>29</v>
      </c>
      <c r="P147" t="s">
        <v>78</v>
      </c>
      <c r="Q147" t="s">
        <v>27</v>
      </c>
      <c r="R147" t="s">
        <v>28</v>
      </c>
      <c r="S147" t="str">
        <f t="shared" si="21"/>
        <v>OK</v>
      </c>
      <c r="T147">
        <v>1</v>
      </c>
      <c r="U147" t="str">
        <f t="shared" si="22"/>
        <v>OK</v>
      </c>
      <c r="V147" s="5">
        <v>7844</v>
      </c>
      <c r="W147" s="5">
        <f t="shared" si="23"/>
        <v>7844</v>
      </c>
      <c r="X147" t="str">
        <f t="shared" si="24"/>
        <v>Correct</v>
      </c>
    </row>
    <row r="148" spans="1:24" x14ac:dyDescent="0.3">
      <c r="A148" t="s">
        <v>374</v>
      </c>
      <c r="B148" s="3">
        <v>45722</v>
      </c>
      <c r="C148" t="s">
        <v>375</v>
      </c>
      <c r="D148" t="s">
        <v>75</v>
      </c>
      <c r="E148" t="s">
        <v>31</v>
      </c>
      <c r="F148">
        <v>21</v>
      </c>
      <c r="G148" t="s">
        <v>32</v>
      </c>
      <c r="H148" t="s">
        <v>82</v>
      </c>
      <c r="I148" t="s">
        <v>54</v>
      </c>
      <c r="J148" t="s">
        <v>67</v>
      </c>
      <c r="K148">
        <v>4</v>
      </c>
      <c r="L148" t="str">
        <f t="shared" si="20"/>
        <v>Valid</v>
      </c>
      <c r="M148" s="9">
        <v>1464</v>
      </c>
      <c r="N148" s="9">
        <v>26</v>
      </c>
      <c r="O148" s="9">
        <v>31</v>
      </c>
      <c r="P148" t="s">
        <v>78</v>
      </c>
      <c r="Q148" t="s">
        <v>56</v>
      </c>
      <c r="R148" t="s">
        <v>44</v>
      </c>
      <c r="S148" t="str">
        <f t="shared" si="21"/>
        <v>Check Return</v>
      </c>
      <c r="T148">
        <v>2</v>
      </c>
      <c r="U148" t="str">
        <f t="shared" si="22"/>
        <v>OK</v>
      </c>
      <c r="V148" s="5">
        <v>5861</v>
      </c>
      <c r="W148" s="5">
        <f t="shared" si="23"/>
        <v>5861</v>
      </c>
      <c r="X148" t="str">
        <f t="shared" si="24"/>
        <v>Correct</v>
      </c>
    </row>
    <row r="149" spans="1:24" x14ac:dyDescent="0.3">
      <c r="A149" t="s">
        <v>376</v>
      </c>
      <c r="B149" s="3">
        <v>45701</v>
      </c>
      <c r="C149" t="s">
        <v>377</v>
      </c>
      <c r="D149" t="s">
        <v>75</v>
      </c>
      <c r="E149" t="s">
        <v>31</v>
      </c>
      <c r="F149">
        <v>59</v>
      </c>
      <c r="G149" t="s">
        <v>22</v>
      </c>
      <c r="H149" t="s">
        <v>103</v>
      </c>
      <c r="I149" t="s">
        <v>34</v>
      </c>
      <c r="J149" t="s">
        <v>100</v>
      </c>
      <c r="K149">
        <v>3</v>
      </c>
      <c r="L149" t="str">
        <f t="shared" si="20"/>
        <v>Valid</v>
      </c>
      <c r="M149" s="9">
        <v>404</v>
      </c>
      <c r="N149" s="9">
        <v>58</v>
      </c>
      <c r="O149" s="9">
        <v>39</v>
      </c>
      <c r="P149" t="s">
        <v>78</v>
      </c>
      <c r="Q149" t="s">
        <v>43</v>
      </c>
      <c r="R149" t="s">
        <v>44</v>
      </c>
      <c r="S149" t="str">
        <f t="shared" si="21"/>
        <v>Check Return</v>
      </c>
      <c r="T149">
        <v>4</v>
      </c>
      <c r="U149" t="str">
        <f t="shared" si="22"/>
        <v>OK</v>
      </c>
      <c r="V149" s="5">
        <v>1193</v>
      </c>
      <c r="W149" s="5">
        <f t="shared" si="23"/>
        <v>1193</v>
      </c>
      <c r="X149" t="str">
        <f t="shared" si="24"/>
        <v>Correct</v>
      </c>
    </row>
    <row r="150" spans="1:24" x14ac:dyDescent="0.3">
      <c r="A150" t="s">
        <v>378</v>
      </c>
      <c r="B150" s="3">
        <v>45748</v>
      </c>
      <c r="C150" t="s">
        <v>379</v>
      </c>
      <c r="D150" t="s">
        <v>81</v>
      </c>
      <c r="E150" t="s">
        <v>31</v>
      </c>
      <c r="F150">
        <v>38</v>
      </c>
      <c r="G150" t="s">
        <v>32</v>
      </c>
      <c r="H150" t="s">
        <v>159</v>
      </c>
      <c r="I150" t="s">
        <v>54</v>
      </c>
      <c r="J150" t="s">
        <v>35</v>
      </c>
      <c r="K150">
        <v>3</v>
      </c>
      <c r="L150" t="str">
        <f t="shared" si="20"/>
        <v>Valid</v>
      </c>
      <c r="M150" s="9">
        <v>510</v>
      </c>
      <c r="N150" s="9">
        <v>38</v>
      </c>
      <c r="O150" s="9">
        <v>23</v>
      </c>
      <c r="P150" t="s">
        <v>26</v>
      </c>
      <c r="Q150" t="s">
        <v>43</v>
      </c>
      <c r="R150" t="s">
        <v>44</v>
      </c>
      <c r="S150" t="str">
        <f t="shared" si="21"/>
        <v>Check Return</v>
      </c>
      <c r="T150">
        <v>3</v>
      </c>
      <c r="U150" t="str">
        <f t="shared" si="22"/>
        <v>OK</v>
      </c>
      <c r="V150" s="5">
        <v>1515</v>
      </c>
      <c r="W150" s="5">
        <f t="shared" si="23"/>
        <v>1515</v>
      </c>
      <c r="X150" t="str">
        <f t="shared" si="24"/>
        <v>Correct</v>
      </c>
    </row>
    <row r="151" spans="1:24" x14ac:dyDescent="0.3">
      <c r="A151" t="s">
        <v>380</v>
      </c>
      <c r="B151" s="3">
        <v>45756</v>
      </c>
      <c r="C151" t="s">
        <v>381</v>
      </c>
      <c r="D151" t="s">
        <v>81</v>
      </c>
      <c r="E151" t="s">
        <v>31</v>
      </c>
      <c r="F151">
        <v>20</v>
      </c>
      <c r="G151" t="s">
        <v>481</v>
      </c>
      <c r="H151" t="s">
        <v>33</v>
      </c>
      <c r="I151" t="s">
        <v>54</v>
      </c>
      <c r="J151" t="s">
        <v>55</v>
      </c>
      <c r="K151">
        <v>5</v>
      </c>
      <c r="L151" t="str">
        <f t="shared" si="20"/>
        <v>Valid</v>
      </c>
      <c r="M151" s="9">
        <v>827</v>
      </c>
      <c r="N151" s="9">
        <v>50</v>
      </c>
      <c r="O151" s="9">
        <v>27</v>
      </c>
      <c r="P151" t="s">
        <v>26</v>
      </c>
      <c r="Q151" t="s">
        <v>27</v>
      </c>
      <c r="R151" t="s">
        <v>37</v>
      </c>
      <c r="S151" t="str">
        <f t="shared" si="21"/>
        <v>OK</v>
      </c>
      <c r="T151">
        <v>4</v>
      </c>
      <c r="U151" t="str">
        <f t="shared" si="22"/>
        <v>OK</v>
      </c>
      <c r="V151" s="5">
        <v>4112</v>
      </c>
      <c r="W151" s="5">
        <f t="shared" si="23"/>
        <v>4112</v>
      </c>
      <c r="X151" t="str">
        <f t="shared" si="24"/>
        <v>Correct</v>
      </c>
    </row>
    <row r="152" spans="1:24" x14ac:dyDescent="0.3">
      <c r="A152" t="s">
        <v>382</v>
      </c>
      <c r="B152" s="3">
        <v>45692</v>
      </c>
      <c r="C152" t="s">
        <v>383</v>
      </c>
      <c r="D152" t="s">
        <v>81</v>
      </c>
      <c r="E152" t="s">
        <v>21</v>
      </c>
      <c r="F152">
        <v>57</v>
      </c>
      <c r="G152" t="s">
        <v>481</v>
      </c>
      <c r="H152" t="s">
        <v>53</v>
      </c>
      <c r="I152" t="s">
        <v>24</v>
      </c>
      <c r="J152" t="s">
        <v>100</v>
      </c>
      <c r="K152">
        <v>5</v>
      </c>
      <c r="L152" t="str">
        <f t="shared" si="20"/>
        <v>Valid</v>
      </c>
      <c r="M152" s="9">
        <v>605</v>
      </c>
      <c r="N152" s="9">
        <v>71</v>
      </c>
      <c r="O152" s="9">
        <v>49</v>
      </c>
      <c r="P152" t="s">
        <v>78</v>
      </c>
      <c r="Q152" t="s">
        <v>36</v>
      </c>
      <c r="R152" t="s">
        <v>28</v>
      </c>
      <c r="S152" t="str">
        <f t="shared" si="21"/>
        <v>OK</v>
      </c>
      <c r="T152">
        <v>2</v>
      </c>
      <c r="U152" t="str">
        <f t="shared" si="22"/>
        <v>OK</v>
      </c>
      <c r="V152" s="5">
        <v>3003</v>
      </c>
      <c r="W152" s="5">
        <f t="shared" si="23"/>
        <v>3003</v>
      </c>
      <c r="X152" t="str">
        <f t="shared" si="24"/>
        <v>Correct</v>
      </c>
    </row>
    <row r="153" spans="1:24" x14ac:dyDescent="0.3">
      <c r="A153" t="s">
        <v>384</v>
      </c>
      <c r="B153" s="3">
        <v>45700</v>
      </c>
      <c r="C153" t="s">
        <v>385</v>
      </c>
      <c r="D153" t="s">
        <v>20</v>
      </c>
      <c r="E153" t="s">
        <v>31</v>
      </c>
      <c r="F153">
        <v>24</v>
      </c>
      <c r="G153" t="s">
        <v>482</v>
      </c>
      <c r="H153" t="s">
        <v>59</v>
      </c>
      <c r="I153" t="s">
        <v>34</v>
      </c>
      <c r="J153" t="s">
        <v>60</v>
      </c>
      <c r="K153">
        <v>2</v>
      </c>
      <c r="L153" t="str">
        <f t="shared" si="20"/>
        <v>Valid</v>
      </c>
      <c r="M153" s="9">
        <v>157</v>
      </c>
      <c r="N153" s="9">
        <v>12</v>
      </c>
      <c r="O153" s="9">
        <v>31</v>
      </c>
      <c r="P153" t="s">
        <v>78</v>
      </c>
      <c r="Q153" t="s">
        <v>56</v>
      </c>
      <c r="R153" t="s">
        <v>28</v>
      </c>
      <c r="S153" t="str">
        <f t="shared" si="21"/>
        <v>OK</v>
      </c>
      <c r="T153">
        <v>5</v>
      </c>
      <c r="U153" t="str">
        <f t="shared" si="22"/>
        <v>OK</v>
      </c>
      <c r="V153" s="5">
        <v>333</v>
      </c>
      <c r="W153" s="5">
        <f t="shared" si="23"/>
        <v>333</v>
      </c>
      <c r="X153" t="str">
        <f t="shared" si="24"/>
        <v>Correct</v>
      </c>
    </row>
    <row r="154" spans="1:24" x14ac:dyDescent="0.3">
      <c r="A154" t="s">
        <v>386</v>
      </c>
      <c r="B154" s="3">
        <v>45699</v>
      </c>
      <c r="C154" t="s">
        <v>387</v>
      </c>
      <c r="D154" t="s">
        <v>52</v>
      </c>
      <c r="E154" t="s">
        <v>21</v>
      </c>
      <c r="F154">
        <v>23</v>
      </c>
      <c r="G154" t="s">
        <v>482</v>
      </c>
      <c r="H154" t="s">
        <v>99</v>
      </c>
      <c r="I154" t="s">
        <v>24</v>
      </c>
      <c r="J154" t="s">
        <v>42</v>
      </c>
      <c r="K154">
        <v>6</v>
      </c>
      <c r="L154" t="str">
        <f t="shared" si="20"/>
        <v>Valid</v>
      </c>
      <c r="M154" s="9">
        <v>458</v>
      </c>
      <c r="N154" s="9">
        <v>96</v>
      </c>
      <c r="O154" s="9">
        <v>23</v>
      </c>
      <c r="P154" t="s">
        <v>78</v>
      </c>
      <c r="Q154" t="s">
        <v>36</v>
      </c>
      <c r="R154" t="s">
        <v>28</v>
      </c>
      <c r="S154" t="str">
        <f t="shared" si="21"/>
        <v>OK</v>
      </c>
      <c r="T154">
        <v>5</v>
      </c>
      <c r="U154" t="str">
        <f t="shared" si="22"/>
        <v>OK</v>
      </c>
      <c r="V154" s="5">
        <v>2675</v>
      </c>
      <c r="W154" s="5">
        <f t="shared" si="23"/>
        <v>2675</v>
      </c>
      <c r="X154" t="str">
        <f t="shared" si="24"/>
        <v>Correct</v>
      </c>
    </row>
    <row r="155" spans="1:24" x14ac:dyDescent="0.3">
      <c r="A155" t="s">
        <v>388</v>
      </c>
      <c r="B155" s="3">
        <v>45681</v>
      </c>
      <c r="C155" t="s">
        <v>389</v>
      </c>
      <c r="D155" t="s">
        <v>20</v>
      </c>
      <c r="E155" t="s">
        <v>31</v>
      </c>
      <c r="F155">
        <v>20</v>
      </c>
      <c r="G155" t="s">
        <v>22</v>
      </c>
      <c r="H155" t="s">
        <v>82</v>
      </c>
      <c r="I155" t="s">
        <v>24</v>
      </c>
      <c r="J155" t="s">
        <v>168</v>
      </c>
      <c r="K155">
        <v>1</v>
      </c>
      <c r="L155" t="str">
        <f t="shared" si="20"/>
        <v>Valid</v>
      </c>
      <c r="M155" s="9">
        <v>863</v>
      </c>
      <c r="N155" s="9">
        <v>100</v>
      </c>
      <c r="O155" s="9">
        <v>36</v>
      </c>
      <c r="P155" t="s">
        <v>49</v>
      </c>
      <c r="Q155" t="s">
        <v>43</v>
      </c>
      <c r="R155" t="s">
        <v>44</v>
      </c>
      <c r="S155" t="str">
        <f t="shared" si="21"/>
        <v>Check Return</v>
      </c>
      <c r="T155">
        <v>5</v>
      </c>
      <c r="U155" t="str">
        <f t="shared" si="22"/>
        <v>OK</v>
      </c>
      <c r="V155" s="5">
        <v>799</v>
      </c>
      <c r="W155" s="5">
        <f t="shared" si="23"/>
        <v>799</v>
      </c>
      <c r="X155" t="str">
        <f t="shared" si="24"/>
        <v>Correct</v>
      </c>
    </row>
    <row r="156" spans="1:24" x14ac:dyDescent="0.3">
      <c r="A156" t="s">
        <v>390</v>
      </c>
      <c r="B156" s="3">
        <v>45771</v>
      </c>
      <c r="C156" t="s">
        <v>391</v>
      </c>
      <c r="D156" t="s">
        <v>81</v>
      </c>
      <c r="E156" t="s">
        <v>31</v>
      </c>
      <c r="F156">
        <v>35</v>
      </c>
      <c r="G156" t="s">
        <v>481</v>
      </c>
      <c r="H156" t="s">
        <v>41</v>
      </c>
      <c r="I156" t="s">
        <v>66</v>
      </c>
      <c r="J156" t="s">
        <v>83</v>
      </c>
      <c r="K156">
        <v>6</v>
      </c>
      <c r="L156" t="str">
        <f t="shared" si="20"/>
        <v>Valid</v>
      </c>
      <c r="M156" s="9">
        <v>1162</v>
      </c>
      <c r="N156" s="9">
        <v>67</v>
      </c>
      <c r="O156" s="9">
        <v>36</v>
      </c>
      <c r="P156" t="s">
        <v>49</v>
      </c>
      <c r="Q156" t="s">
        <v>27</v>
      </c>
      <c r="R156" t="s">
        <v>37</v>
      </c>
      <c r="S156" t="str">
        <f t="shared" si="21"/>
        <v>OK</v>
      </c>
      <c r="T156">
        <v>2</v>
      </c>
      <c r="U156" t="str">
        <f t="shared" si="22"/>
        <v>OK</v>
      </c>
      <c r="V156" s="5">
        <v>6941</v>
      </c>
      <c r="W156" s="5">
        <f t="shared" si="23"/>
        <v>6941</v>
      </c>
      <c r="X156" t="str">
        <f t="shared" si="24"/>
        <v>Correct</v>
      </c>
    </row>
    <row r="157" spans="1:24" x14ac:dyDescent="0.3">
      <c r="A157" t="s">
        <v>392</v>
      </c>
      <c r="B157" s="3">
        <v>45744</v>
      </c>
      <c r="C157" t="s">
        <v>393</v>
      </c>
      <c r="D157" t="s">
        <v>81</v>
      </c>
      <c r="E157" t="s">
        <v>21</v>
      </c>
      <c r="F157">
        <v>57</v>
      </c>
      <c r="G157" t="s">
        <v>482</v>
      </c>
      <c r="H157" t="s">
        <v>53</v>
      </c>
      <c r="I157" t="s">
        <v>54</v>
      </c>
      <c r="J157" t="s">
        <v>67</v>
      </c>
      <c r="K157">
        <v>6</v>
      </c>
      <c r="L157" t="str">
        <f t="shared" si="20"/>
        <v>Valid</v>
      </c>
      <c r="M157" s="9">
        <v>740</v>
      </c>
      <c r="N157" s="9">
        <v>37</v>
      </c>
      <c r="O157" s="9">
        <v>41</v>
      </c>
      <c r="P157" t="s">
        <v>78</v>
      </c>
      <c r="Q157" t="s">
        <v>134</v>
      </c>
      <c r="R157" t="s">
        <v>37</v>
      </c>
      <c r="S157" t="str">
        <f t="shared" si="21"/>
        <v>OK</v>
      </c>
      <c r="T157">
        <v>5</v>
      </c>
      <c r="U157" t="str">
        <f t="shared" si="22"/>
        <v>OK</v>
      </c>
      <c r="V157" s="5">
        <v>4444</v>
      </c>
      <c r="W157" s="5">
        <f t="shared" si="23"/>
        <v>4444</v>
      </c>
      <c r="X157" t="str">
        <f t="shared" si="24"/>
        <v>Correct</v>
      </c>
    </row>
    <row r="158" spans="1:24" x14ac:dyDescent="0.3">
      <c r="A158" t="s">
        <v>394</v>
      </c>
      <c r="B158" s="3">
        <v>45699</v>
      </c>
      <c r="C158" t="s">
        <v>395</v>
      </c>
      <c r="D158" t="s">
        <v>81</v>
      </c>
      <c r="E158" t="s">
        <v>21</v>
      </c>
      <c r="F158">
        <v>34</v>
      </c>
      <c r="G158" t="s">
        <v>32</v>
      </c>
      <c r="H158" t="s">
        <v>71</v>
      </c>
      <c r="I158" t="s">
        <v>54</v>
      </c>
      <c r="J158" t="s">
        <v>55</v>
      </c>
      <c r="K158">
        <v>1</v>
      </c>
      <c r="L158" t="str">
        <f t="shared" si="20"/>
        <v>Valid</v>
      </c>
      <c r="M158" s="9">
        <v>428</v>
      </c>
      <c r="N158" s="9">
        <v>17</v>
      </c>
      <c r="O158" s="9">
        <v>35</v>
      </c>
      <c r="P158" t="s">
        <v>26</v>
      </c>
      <c r="Q158" t="s">
        <v>56</v>
      </c>
      <c r="R158" t="s">
        <v>37</v>
      </c>
      <c r="S158" t="str">
        <f t="shared" si="21"/>
        <v>OK</v>
      </c>
      <c r="T158">
        <v>3</v>
      </c>
      <c r="U158" t="str">
        <f t="shared" si="22"/>
        <v>OK</v>
      </c>
      <c r="V158" s="5">
        <v>446</v>
      </c>
      <c r="W158" s="5">
        <f t="shared" si="23"/>
        <v>446</v>
      </c>
      <c r="X158" t="str">
        <f t="shared" si="24"/>
        <v>Correct</v>
      </c>
    </row>
    <row r="159" spans="1:24" x14ac:dyDescent="0.3">
      <c r="A159" t="s">
        <v>396</v>
      </c>
      <c r="B159" s="3">
        <v>45704</v>
      </c>
      <c r="C159" t="s">
        <v>397</v>
      </c>
      <c r="D159" t="s">
        <v>20</v>
      </c>
      <c r="E159" t="s">
        <v>21</v>
      </c>
      <c r="F159">
        <v>21</v>
      </c>
      <c r="G159" t="s">
        <v>32</v>
      </c>
      <c r="H159" t="s">
        <v>33</v>
      </c>
      <c r="I159" t="s">
        <v>34</v>
      </c>
      <c r="J159" t="s">
        <v>175</v>
      </c>
      <c r="K159">
        <v>5</v>
      </c>
      <c r="L159" t="str">
        <f t="shared" si="20"/>
        <v>Valid</v>
      </c>
      <c r="M159" s="9">
        <v>73</v>
      </c>
      <c r="N159" s="9">
        <v>33</v>
      </c>
      <c r="O159" s="9">
        <v>46</v>
      </c>
      <c r="P159" t="s">
        <v>78</v>
      </c>
      <c r="Q159" t="s">
        <v>27</v>
      </c>
      <c r="R159" t="s">
        <v>37</v>
      </c>
      <c r="S159" t="str">
        <f t="shared" si="21"/>
        <v>OK</v>
      </c>
      <c r="T159">
        <v>3</v>
      </c>
      <c r="U159" t="str">
        <f t="shared" si="22"/>
        <v>OK</v>
      </c>
      <c r="V159" s="5">
        <v>378</v>
      </c>
      <c r="W159" s="5">
        <f t="shared" si="23"/>
        <v>378</v>
      </c>
      <c r="X159" t="str">
        <f t="shared" si="24"/>
        <v>Correct</v>
      </c>
    </row>
    <row r="160" spans="1:24" x14ac:dyDescent="0.3">
      <c r="A160" t="s">
        <v>398</v>
      </c>
      <c r="B160" s="3">
        <v>45775</v>
      </c>
      <c r="C160" t="s">
        <v>399</v>
      </c>
      <c r="D160" t="s">
        <v>52</v>
      </c>
      <c r="E160" t="s">
        <v>31</v>
      </c>
      <c r="F160">
        <v>57</v>
      </c>
      <c r="G160" t="s">
        <v>32</v>
      </c>
      <c r="H160" t="s">
        <v>33</v>
      </c>
      <c r="I160" t="s">
        <v>34</v>
      </c>
      <c r="J160" t="s">
        <v>42</v>
      </c>
      <c r="K160">
        <v>3</v>
      </c>
      <c r="L160" t="str">
        <f t="shared" si="20"/>
        <v>Valid</v>
      </c>
      <c r="M160" s="9">
        <v>1463</v>
      </c>
      <c r="N160" s="9">
        <v>15</v>
      </c>
      <c r="O160" s="9">
        <v>45</v>
      </c>
      <c r="P160" t="s">
        <v>49</v>
      </c>
      <c r="Q160" t="s">
        <v>56</v>
      </c>
      <c r="R160" t="s">
        <v>28</v>
      </c>
      <c r="S160" t="str">
        <f t="shared" si="21"/>
        <v>OK</v>
      </c>
      <c r="T160">
        <v>4</v>
      </c>
      <c r="U160" t="str">
        <f t="shared" si="22"/>
        <v>OK</v>
      </c>
      <c r="V160" s="5">
        <v>4419</v>
      </c>
      <c r="W160" s="5">
        <f t="shared" si="23"/>
        <v>4419</v>
      </c>
      <c r="X160" t="str">
        <f t="shared" si="24"/>
        <v>Correct</v>
      </c>
    </row>
    <row r="161" spans="1:24" x14ac:dyDescent="0.3">
      <c r="A161" t="s">
        <v>400</v>
      </c>
      <c r="B161" s="3">
        <v>45754</v>
      </c>
      <c r="C161" t="s">
        <v>401</v>
      </c>
      <c r="D161" t="s">
        <v>75</v>
      </c>
      <c r="E161" t="s">
        <v>21</v>
      </c>
      <c r="F161">
        <v>33</v>
      </c>
      <c r="G161" t="s">
        <v>22</v>
      </c>
      <c r="H161" t="s">
        <v>103</v>
      </c>
      <c r="I161" t="s">
        <v>66</v>
      </c>
      <c r="J161" t="s">
        <v>42</v>
      </c>
      <c r="K161">
        <v>4</v>
      </c>
      <c r="L161" t="str">
        <f t="shared" si="20"/>
        <v>Valid</v>
      </c>
      <c r="M161" s="9">
        <v>1487</v>
      </c>
      <c r="N161" s="9">
        <v>70</v>
      </c>
      <c r="O161" s="9">
        <v>35</v>
      </c>
      <c r="P161" t="s">
        <v>78</v>
      </c>
      <c r="Q161" t="s">
        <v>36</v>
      </c>
      <c r="R161" t="s">
        <v>28</v>
      </c>
      <c r="S161" t="str">
        <f t="shared" si="21"/>
        <v>OK</v>
      </c>
      <c r="T161">
        <v>5</v>
      </c>
      <c r="U161" t="str">
        <f t="shared" si="22"/>
        <v>OK</v>
      </c>
      <c r="V161" s="5">
        <v>5913</v>
      </c>
      <c r="W161" s="5">
        <f t="shared" si="23"/>
        <v>5913</v>
      </c>
      <c r="X161" t="str">
        <f t="shared" si="24"/>
        <v>Correct</v>
      </c>
    </row>
    <row r="162" spans="1:24" x14ac:dyDescent="0.3">
      <c r="A162" t="s">
        <v>402</v>
      </c>
      <c r="B162" s="3">
        <v>45773</v>
      </c>
      <c r="C162" t="s">
        <v>403</v>
      </c>
      <c r="D162" t="s">
        <v>75</v>
      </c>
      <c r="E162" t="s">
        <v>21</v>
      </c>
      <c r="F162">
        <v>54</v>
      </c>
      <c r="G162" t="s">
        <v>481</v>
      </c>
      <c r="H162" t="s">
        <v>23</v>
      </c>
      <c r="I162" t="s">
        <v>66</v>
      </c>
      <c r="J162" t="s">
        <v>77</v>
      </c>
      <c r="K162">
        <v>5</v>
      </c>
      <c r="L162" t="str">
        <f t="shared" ref="L162:L193" si="25">IF(K162&lt;0,"Invalid","Valid")</f>
        <v>Valid</v>
      </c>
      <c r="M162" s="9">
        <v>279</v>
      </c>
      <c r="N162" s="9">
        <v>7</v>
      </c>
      <c r="O162" s="9">
        <v>40</v>
      </c>
      <c r="P162" t="s">
        <v>78</v>
      </c>
      <c r="Q162" t="s">
        <v>56</v>
      </c>
      <c r="R162" t="s">
        <v>28</v>
      </c>
      <c r="S162" t="str">
        <f t="shared" ref="S162:S193" si="26">IF(AND(R162="Returned",V162&gt;0),"Check Return","OK")</f>
        <v>OK</v>
      </c>
      <c r="T162">
        <v>3</v>
      </c>
      <c r="U162" t="str">
        <f t="shared" ref="U162:U193" si="27">IF(T162&gt;5,"Invalid Rating","OK")</f>
        <v>OK</v>
      </c>
      <c r="V162" s="5">
        <v>1428</v>
      </c>
      <c r="W162" s="5">
        <f t="shared" ref="W162:W193" si="28">(K162*M162)-N162+O162</f>
        <v>1428</v>
      </c>
      <c r="X162" t="str">
        <f t="shared" ref="X162:X193" si="29">IF(V162=W162,"Correct","Mismatch")</f>
        <v>Correct</v>
      </c>
    </row>
    <row r="163" spans="1:24" x14ac:dyDescent="0.3">
      <c r="A163" t="s">
        <v>404</v>
      </c>
      <c r="B163" s="3">
        <v>45715</v>
      </c>
      <c r="C163" t="s">
        <v>405</v>
      </c>
      <c r="D163" t="s">
        <v>40</v>
      </c>
      <c r="E163" t="s">
        <v>31</v>
      </c>
      <c r="F163">
        <v>26</v>
      </c>
      <c r="G163" t="s">
        <v>482</v>
      </c>
      <c r="H163" t="s">
        <v>59</v>
      </c>
      <c r="I163" t="s">
        <v>24</v>
      </c>
      <c r="J163" t="s">
        <v>112</v>
      </c>
      <c r="K163">
        <v>5</v>
      </c>
      <c r="L163" t="str">
        <f t="shared" si="25"/>
        <v>Valid</v>
      </c>
      <c r="M163" s="9">
        <v>1051</v>
      </c>
      <c r="N163" s="9">
        <v>11</v>
      </c>
      <c r="O163" s="9">
        <v>37</v>
      </c>
      <c r="P163" t="s">
        <v>78</v>
      </c>
      <c r="Q163" t="s">
        <v>134</v>
      </c>
      <c r="R163" t="s">
        <v>37</v>
      </c>
      <c r="S163" t="str">
        <f t="shared" si="26"/>
        <v>OK</v>
      </c>
      <c r="T163">
        <v>5</v>
      </c>
      <c r="U163" t="str">
        <f t="shared" si="27"/>
        <v>OK</v>
      </c>
      <c r="V163" s="5">
        <v>5281</v>
      </c>
      <c r="W163" s="5">
        <f t="shared" si="28"/>
        <v>5281</v>
      </c>
      <c r="X163" t="str">
        <f t="shared" si="29"/>
        <v>Correct</v>
      </c>
    </row>
    <row r="164" spans="1:24" x14ac:dyDescent="0.3">
      <c r="A164" t="s">
        <v>406</v>
      </c>
      <c r="B164" s="3">
        <v>45762</v>
      </c>
      <c r="C164" t="s">
        <v>407</v>
      </c>
      <c r="D164" t="s">
        <v>40</v>
      </c>
      <c r="E164" t="s">
        <v>21</v>
      </c>
      <c r="F164">
        <v>55</v>
      </c>
      <c r="G164" t="s">
        <v>64</v>
      </c>
      <c r="H164" t="s">
        <v>71</v>
      </c>
      <c r="I164" t="s">
        <v>24</v>
      </c>
      <c r="J164" t="s">
        <v>60</v>
      </c>
      <c r="K164">
        <v>3</v>
      </c>
      <c r="L164" t="str">
        <f t="shared" si="25"/>
        <v>Valid</v>
      </c>
      <c r="M164" s="9">
        <v>94</v>
      </c>
      <c r="N164" s="9">
        <v>50</v>
      </c>
      <c r="O164" s="9">
        <v>21</v>
      </c>
      <c r="P164" t="s">
        <v>49</v>
      </c>
      <c r="Q164" t="s">
        <v>27</v>
      </c>
      <c r="R164" t="s">
        <v>37</v>
      </c>
      <c r="S164" t="str">
        <f t="shared" si="26"/>
        <v>OK</v>
      </c>
      <c r="T164">
        <v>3</v>
      </c>
      <c r="U164" t="str">
        <f t="shared" si="27"/>
        <v>OK</v>
      </c>
      <c r="V164" s="5">
        <v>253</v>
      </c>
      <c r="W164" s="5">
        <f t="shared" si="28"/>
        <v>253</v>
      </c>
      <c r="X164" t="str">
        <f t="shared" si="29"/>
        <v>Correct</v>
      </c>
    </row>
    <row r="165" spans="1:24" x14ac:dyDescent="0.3">
      <c r="A165" t="s">
        <v>408</v>
      </c>
      <c r="B165" s="3">
        <v>45681</v>
      </c>
      <c r="C165" t="s">
        <v>409</v>
      </c>
      <c r="D165" t="s">
        <v>81</v>
      </c>
      <c r="E165" t="s">
        <v>31</v>
      </c>
      <c r="F165">
        <v>41</v>
      </c>
      <c r="G165" t="s">
        <v>481</v>
      </c>
      <c r="H165" t="s">
        <v>65</v>
      </c>
      <c r="I165" t="s">
        <v>24</v>
      </c>
      <c r="J165" t="s">
        <v>60</v>
      </c>
      <c r="K165">
        <v>4</v>
      </c>
      <c r="L165" t="str">
        <f t="shared" si="25"/>
        <v>Valid</v>
      </c>
      <c r="M165" s="9">
        <v>114</v>
      </c>
      <c r="N165" s="9">
        <v>36</v>
      </c>
      <c r="O165" s="9">
        <v>31</v>
      </c>
      <c r="P165" t="s">
        <v>26</v>
      </c>
      <c r="Q165" t="s">
        <v>134</v>
      </c>
      <c r="R165" t="s">
        <v>37</v>
      </c>
      <c r="S165" t="str">
        <f t="shared" si="26"/>
        <v>OK</v>
      </c>
      <c r="T165">
        <v>4</v>
      </c>
      <c r="U165" t="str">
        <f t="shared" si="27"/>
        <v>OK</v>
      </c>
      <c r="V165" s="5">
        <v>451</v>
      </c>
      <c r="W165" s="5">
        <f t="shared" si="28"/>
        <v>451</v>
      </c>
      <c r="X165" t="str">
        <f t="shared" si="29"/>
        <v>Correct</v>
      </c>
    </row>
    <row r="166" spans="1:24" x14ac:dyDescent="0.3">
      <c r="A166" t="s">
        <v>410</v>
      </c>
      <c r="B166" s="3">
        <v>45708</v>
      </c>
      <c r="C166" t="s">
        <v>411</v>
      </c>
      <c r="D166" t="s">
        <v>75</v>
      </c>
      <c r="E166" t="s">
        <v>21</v>
      </c>
      <c r="F166">
        <v>32</v>
      </c>
      <c r="G166" t="s">
        <v>482</v>
      </c>
      <c r="H166" t="s">
        <v>59</v>
      </c>
      <c r="I166" t="s">
        <v>66</v>
      </c>
      <c r="J166" t="s">
        <v>60</v>
      </c>
      <c r="K166">
        <v>3</v>
      </c>
      <c r="L166" t="str">
        <f t="shared" si="25"/>
        <v>Valid</v>
      </c>
      <c r="M166" s="9">
        <v>292</v>
      </c>
      <c r="N166" s="9">
        <v>22</v>
      </c>
      <c r="O166" s="9">
        <v>39</v>
      </c>
      <c r="P166" t="s">
        <v>49</v>
      </c>
      <c r="Q166" t="s">
        <v>27</v>
      </c>
      <c r="R166" t="s">
        <v>37</v>
      </c>
      <c r="S166" t="str">
        <f t="shared" si="26"/>
        <v>OK</v>
      </c>
      <c r="T166">
        <v>4</v>
      </c>
      <c r="U166" t="str">
        <f t="shared" si="27"/>
        <v>OK</v>
      </c>
      <c r="V166" s="5">
        <v>893</v>
      </c>
      <c r="W166" s="5">
        <f t="shared" si="28"/>
        <v>893</v>
      </c>
      <c r="X166" t="str">
        <f t="shared" si="29"/>
        <v>Correct</v>
      </c>
    </row>
    <row r="167" spans="1:24" x14ac:dyDescent="0.3">
      <c r="A167" t="s">
        <v>412</v>
      </c>
      <c r="B167" s="3">
        <v>45693</v>
      </c>
      <c r="C167" t="s">
        <v>413</v>
      </c>
      <c r="D167" t="s">
        <v>81</v>
      </c>
      <c r="E167" t="s">
        <v>21</v>
      </c>
      <c r="F167">
        <v>20</v>
      </c>
      <c r="G167" t="s">
        <v>64</v>
      </c>
      <c r="H167" t="s">
        <v>82</v>
      </c>
      <c r="I167" t="s">
        <v>34</v>
      </c>
      <c r="J167" t="s">
        <v>77</v>
      </c>
      <c r="K167">
        <v>2</v>
      </c>
      <c r="L167" t="str">
        <f t="shared" si="25"/>
        <v>Valid</v>
      </c>
      <c r="M167" s="9">
        <v>993</v>
      </c>
      <c r="N167" s="9">
        <v>44</v>
      </c>
      <c r="O167" s="9">
        <v>14</v>
      </c>
      <c r="P167" t="s">
        <v>78</v>
      </c>
      <c r="Q167" t="s">
        <v>134</v>
      </c>
      <c r="R167" t="s">
        <v>44</v>
      </c>
      <c r="S167" t="str">
        <f t="shared" si="26"/>
        <v>Check Return</v>
      </c>
      <c r="T167">
        <v>1</v>
      </c>
      <c r="U167" t="str">
        <f t="shared" si="27"/>
        <v>OK</v>
      </c>
      <c r="V167" s="5">
        <v>1956</v>
      </c>
      <c r="W167" s="5">
        <f t="shared" si="28"/>
        <v>1956</v>
      </c>
      <c r="X167" t="str">
        <f t="shared" si="29"/>
        <v>Correct</v>
      </c>
    </row>
    <row r="168" spans="1:24" x14ac:dyDescent="0.3">
      <c r="A168" t="s">
        <v>414</v>
      </c>
      <c r="B168" s="3">
        <v>45744</v>
      </c>
      <c r="C168" t="s">
        <v>415</v>
      </c>
      <c r="D168" t="s">
        <v>20</v>
      </c>
      <c r="E168" t="s">
        <v>21</v>
      </c>
      <c r="F168">
        <v>33</v>
      </c>
      <c r="G168" t="s">
        <v>481</v>
      </c>
      <c r="H168" t="s">
        <v>65</v>
      </c>
      <c r="I168" t="s">
        <v>34</v>
      </c>
      <c r="J168" t="s">
        <v>35</v>
      </c>
      <c r="K168">
        <v>5</v>
      </c>
      <c r="L168" t="str">
        <f t="shared" si="25"/>
        <v>Valid</v>
      </c>
      <c r="M168" s="9">
        <v>118</v>
      </c>
      <c r="N168" s="9">
        <v>57</v>
      </c>
      <c r="O168" s="9">
        <v>43</v>
      </c>
      <c r="P168" t="s">
        <v>78</v>
      </c>
      <c r="Q168" t="s">
        <v>27</v>
      </c>
      <c r="R168" t="s">
        <v>37</v>
      </c>
      <c r="S168" t="str">
        <f t="shared" si="26"/>
        <v>OK</v>
      </c>
      <c r="T168">
        <v>4</v>
      </c>
      <c r="U168" t="str">
        <f t="shared" si="27"/>
        <v>OK</v>
      </c>
      <c r="V168" s="5">
        <v>576</v>
      </c>
      <c r="W168" s="5">
        <f t="shared" si="28"/>
        <v>576</v>
      </c>
      <c r="X168" t="str">
        <f t="shared" si="29"/>
        <v>Correct</v>
      </c>
    </row>
    <row r="169" spans="1:24" x14ac:dyDescent="0.3">
      <c r="A169" t="s">
        <v>416</v>
      </c>
      <c r="B169" s="3">
        <v>45762</v>
      </c>
      <c r="C169" t="s">
        <v>417</v>
      </c>
      <c r="D169" t="s">
        <v>20</v>
      </c>
      <c r="E169" t="s">
        <v>31</v>
      </c>
      <c r="F169">
        <v>54</v>
      </c>
      <c r="G169" t="s">
        <v>481</v>
      </c>
      <c r="H169" t="s">
        <v>53</v>
      </c>
      <c r="I169" t="s">
        <v>34</v>
      </c>
      <c r="J169" t="s">
        <v>93</v>
      </c>
      <c r="K169">
        <v>2</v>
      </c>
      <c r="L169" t="str">
        <f t="shared" si="25"/>
        <v>Valid</v>
      </c>
      <c r="M169" s="9">
        <v>1081</v>
      </c>
      <c r="N169" s="9">
        <v>37</v>
      </c>
      <c r="O169" s="9">
        <v>19</v>
      </c>
      <c r="P169" t="s">
        <v>78</v>
      </c>
      <c r="Q169" t="s">
        <v>43</v>
      </c>
      <c r="R169" t="s">
        <v>28</v>
      </c>
      <c r="S169" t="str">
        <f t="shared" si="26"/>
        <v>OK</v>
      </c>
      <c r="T169">
        <v>3</v>
      </c>
      <c r="U169" t="str">
        <f t="shared" si="27"/>
        <v>OK</v>
      </c>
      <c r="V169" s="5">
        <v>2144</v>
      </c>
      <c r="W169" s="5">
        <f t="shared" si="28"/>
        <v>2144</v>
      </c>
      <c r="X169" t="str">
        <f t="shared" si="29"/>
        <v>Correct</v>
      </c>
    </row>
    <row r="170" spans="1:24" x14ac:dyDescent="0.3">
      <c r="A170" t="s">
        <v>418</v>
      </c>
      <c r="B170" s="3">
        <v>45733</v>
      </c>
      <c r="C170" t="s">
        <v>419</v>
      </c>
      <c r="D170" t="s">
        <v>20</v>
      </c>
      <c r="E170" t="s">
        <v>21</v>
      </c>
      <c r="F170">
        <v>58</v>
      </c>
      <c r="G170" t="s">
        <v>482</v>
      </c>
      <c r="H170" t="s">
        <v>119</v>
      </c>
      <c r="I170" t="s">
        <v>24</v>
      </c>
      <c r="J170" t="s">
        <v>93</v>
      </c>
      <c r="K170">
        <v>3</v>
      </c>
      <c r="L170" t="str">
        <f t="shared" si="25"/>
        <v>Valid</v>
      </c>
      <c r="M170" s="9">
        <v>613</v>
      </c>
      <c r="N170" s="9">
        <v>7</v>
      </c>
      <c r="O170" s="9">
        <v>40</v>
      </c>
      <c r="P170" t="s">
        <v>78</v>
      </c>
      <c r="Q170" t="s">
        <v>134</v>
      </c>
      <c r="R170" t="s">
        <v>44</v>
      </c>
      <c r="S170" t="str">
        <f t="shared" si="26"/>
        <v>Check Return</v>
      </c>
      <c r="T170">
        <v>4</v>
      </c>
      <c r="U170" t="str">
        <f t="shared" si="27"/>
        <v>OK</v>
      </c>
      <c r="V170" s="5">
        <v>1872</v>
      </c>
      <c r="W170" s="5">
        <f t="shared" si="28"/>
        <v>1872</v>
      </c>
      <c r="X170" t="str">
        <f t="shared" si="29"/>
        <v>Correct</v>
      </c>
    </row>
    <row r="171" spans="1:24" x14ac:dyDescent="0.3">
      <c r="A171" t="s">
        <v>420</v>
      </c>
      <c r="B171" s="3">
        <v>45677</v>
      </c>
      <c r="C171" t="s">
        <v>421</v>
      </c>
      <c r="D171" t="s">
        <v>52</v>
      </c>
      <c r="E171" t="s">
        <v>31</v>
      </c>
      <c r="F171">
        <v>29</v>
      </c>
      <c r="G171" t="s">
        <v>482</v>
      </c>
      <c r="H171" t="s">
        <v>71</v>
      </c>
      <c r="I171" t="s">
        <v>54</v>
      </c>
      <c r="J171" t="s">
        <v>83</v>
      </c>
      <c r="K171">
        <v>3</v>
      </c>
      <c r="L171" t="str">
        <f t="shared" si="25"/>
        <v>Valid</v>
      </c>
      <c r="M171" s="9">
        <v>1476</v>
      </c>
      <c r="N171" s="9">
        <v>53</v>
      </c>
      <c r="O171" s="9">
        <v>31</v>
      </c>
      <c r="P171" t="s">
        <v>78</v>
      </c>
      <c r="Q171" t="s">
        <v>134</v>
      </c>
      <c r="R171" t="s">
        <v>28</v>
      </c>
      <c r="S171" t="str">
        <f t="shared" si="26"/>
        <v>OK</v>
      </c>
      <c r="T171">
        <v>2</v>
      </c>
      <c r="U171" t="str">
        <f t="shared" si="27"/>
        <v>OK</v>
      </c>
      <c r="V171" s="5">
        <v>4406</v>
      </c>
      <c r="W171" s="5">
        <f t="shared" si="28"/>
        <v>4406</v>
      </c>
      <c r="X171" t="str">
        <f t="shared" si="29"/>
        <v>Correct</v>
      </c>
    </row>
    <row r="172" spans="1:24" x14ac:dyDescent="0.3">
      <c r="A172" t="s">
        <v>422</v>
      </c>
      <c r="B172" s="3">
        <v>45725</v>
      </c>
      <c r="C172" t="s">
        <v>423</v>
      </c>
      <c r="D172" t="s">
        <v>81</v>
      </c>
      <c r="E172" t="s">
        <v>31</v>
      </c>
      <c r="F172">
        <v>33</v>
      </c>
      <c r="G172" t="s">
        <v>64</v>
      </c>
      <c r="H172" t="s">
        <v>82</v>
      </c>
      <c r="I172" t="s">
        <v>66</v>
      </c>
      <c r="J172" t="s">
        <v>184</v>
      </c>
      <c r="K172">
        <v>5</v>
      </c>
      <c r="L172" t="str">
        <f t="shared" si="25"/>
        <v>Valid</v>
      </c>
      <c r="M172" s="9">
        <v>895</v>
      </c>
      <c r="N172" s="9">
        <v>53</v>
      </c>
      <c r="O172" s="9">
        <v>40</v>
      </c>
      <c r="P172" t="s">
        <v>26</v>
      </c>
      <c r="Q172" t="s">
        <v>56</v>
      </c>
      <c r="R172" t="s">
        <v>37</v>
      </c>
      <c r="S172" t="str">
        <f t="shared" si="26"/>
        <v>OK</v>
      </c>
      <c r="T172">
        <v>1</v>
      </c>
      <c r="U172" t="str">
        <f t="shared" si="27"/>
        <v>OK</v>
      </c>
      <c r="V172" s="5">
        <v>4462</v>
      </c>
      <c r="W172" s="5">
        <f t="shared" si="28"/>
        <v>4462</v>
      </c>
      <c r="X172" t="str">
        <f t="shared" si="29"/>
        <v>Correct</v>
      </c>
    </row>
    <row r="173" spans="1:24" x14ac:dyDescent="0.3">
      <c r="A173" t="s">
        <v>424</v>
      </c>
      <c r="B173" s="3">
        <v>45706</v>
      </c>
      <c r="C173" t="s">
        <v>425</v>
      </c>
      <c r="D173" t="s">
        <v>20</v>
      </c>
      <c r="E173" t="s">
        <v>21</v>
      </c>
      <c r="F173">
        <v>22</v>
      </c>
      <c r="G173" t="s">
        <v>481</v>
      </c>
      <c r="H173" t="s">
        <v>151</v>
      </c>
      <c r="I173" t="s">
        <v>34</v>
      </c>
      <c r="J173" t="s">
        <v>67</v>
      </c>
      <c r="K173">
        <v>6</v>
      </c>
      <c r="L173" t="str">
        <f t="shared" si="25"/>
        <v>Valid</v>
      </c>
      <c r="M173" s="9">
        <v>440</v>
      </c>
      <c r="N173" s="9">
        <v>6</v>
      </c>
      <c r="O173" s="9">
        <v>22</v>
      </c>
      <c r="P173" t="s">
        <v>49</v>
      </c>
      <c r="Q173" t="s">
        <v>36</v>
      </c>
      <c r="R173" t="s">
        <v>44</v>
      </c>
      <c r="S173" t="str">
        <f t="shared" si="26"/>
        <v>Check Return</v>
      </c>
      <c r="T173">
        <v>5</v>
      </c>
      <c r="U173" t="str">
        <f t="shared" si="27"/>
        <v>OK</v>
      </c>
      <c r="V173" s="5">
        <v>2656</v>
      </c>
      <c r="W173" s="5">
        <f t="shared" si="28"/>
        <v>2656</v>
      </c>
      <c r="X173" t="str">
        <f t="shared" si="29"/>
        <v>Correct</v>
      </c>
    </row>
    <row r="174" spans="1:24" x14ac:dyDescent="0.3">
      <c r="A174" t="s">
        <v>426</v>
      </c>
      <c r="B174" s="3">
        <v>45752</v>
      </c>
      <c r="C174" t="s">
        <v>427</v>
      </c>
      <c r="D174" t="s">
        <v>40</v>
      </c>
      <c r="E174" t="s">
        <v>31</v>
      </c>
      <c r="F174">
        <v>33</v>
      </c>
      <c r="G174" t="s">
        <v>32</v>
      </c>
      <c r="H174" t="s">
        <v>119</v>
      </c>
      <c r="I174" t="s">
        <v>66</v>
      </c>
      <c r="J174" t="s">
        <v>42</v>
      </c>
      <c r="K174">
        <v>3</v>
      </c>
      <c r="L174" t="str">
        <f t="shared" si="25"/>
        <v>Valid</v>
      </c>
      <c r="M174" s="9">
        <v>81</v>
      </c>
      <c r="N174" s="9">
        <v>27</v>
      </c>
      <c r="O174" s="9">
        <v>17</v>
      </c>
      <c r="P174" t="s">
        <v>78</v>
      </c>
      <c r="Q174" t="s">
        <v>36</v>
      </c>
      <c r="R174" t="s">
        <v>44</v>
      </c>
      <c r="S174" t="str">
        <f t="shared" si="26"/>
        <v>Check Return</v>
      </c>
      <c r="T174">
        <v>2</v>
      </c>
      <c r="U174" t="str">
        <f t="shared" si="27"/>
        <v>OK</v>
      </c>
      <c r="V174" s="5">
        <v>233</v>
      </c>
      <c r="W174" s="5">
        <f t="shared" si="28"/>
        <v>233</v>
      </c>
      <c r="X174" t="str">
        <f t="shared" si="29"/>
        <v>Correct</v>
      </c>
    </row>
    <row r="175" spans="1:24" x14ac:dyDescent="0.3">
      <c r="A175" t="s">
        <v>428</v>
      </c>
      <c r="B175" s="3">
        <v>45741</v>
      </c>
      <c r="C175" t="s">
        <v>429</v>
      </c>
      <c r="D175" t="s">
        <v>52</v>
      </c>
      <c r="E175" t="s">
        <v>31</v>
      </c>
      <c r="F175">
        <v>34</v>
      </c>
      <c r="G175" t="s">
        <v>22</v>
      </c>
      <c r="H175" t="s">
        <v>103</v>
      </c>
      <c r="I175" t="s">
        <v>24</v>
      </c>
      <c r="J175" t="s">
        <v>96</v>
      </c>
      <c r="K175">
        <v>3</v>
      </c>
      <c r="L175" t="str">
        <f t="shared" si="25"/>
        <v>Valid</v>
      </c>
      <c r="M175" s="9">
        <v>829</v>
      </c>
      <c r="N175" s="9">
        <v>59</v>
      </c>
      <c r="O175" s="9">
        <v>39</v>
      </c>
      <c r="P175" t="s">
        <v>26</v>
      </c>
      <c r="Q175" t="s">
        <v>36</v>
      </c>
      <c r="R175" t="s">
        <v>37</v>
      </c>
      <c r="S175" t="str">
        <f t="shared" si="26"/>
        <v>OK</v>
      </c>
      <c r="T175">
        <v>4</v>
      </c>
      <c r="U175" t="str">
        <f t="shared" si="27"/>
        <v>OK</v>
      </c>
      <c r="V175" s="5">
        <v>2467</v>
      </c>
      <c r="W175" s="5">
        <f t="shared" si="28"/>
        <v>2467</v>
      </c>
      <c r="X175" t="str">
        <f t="shared" si="29"/>
        <v>Correct</v>
      </c>
    </row>
    <row r="176" spans="1:24" x14ac:dyDescent="0.3">
      <c r="A176" t="s">
        <v>430</v>
      </c>
      <c r="B176" s="3">
        <v>45730</v>
      </c>
      <c r="C176" t="s">
        <v>431</v>
      </c>
      <c r="D176" t="s">
        <v>81</v>
      </c>
      <c r="E176" t="s">
        <v>21</v>
      </c>
      <c r="F176">
        <v>19</v>
      </c>
      <c r="G176" t="s">
        <v>481</v>
      </c>
      <c r="H176" t="s">
        <v>23</v>
      </c>
      <c r="I176" t="s">
        <v>66</v>
      </c>
      <c r="J176" t="s">
        <v>48</v>
      </c>
      <c r="K176">
        <v>3</v>
      </c>
      <c r="L176" t="str">
        <f t="shared" si="25"/>
        <v>Valid</v>
      </c>
      <c r="M176" s="9">
        <v>690</v>
      </c>
      <c r="N176" s="9">
        <v>52</v>
      </c>
      <c r="O176" s="9">
        <v>7</v>
      </c>
      <c r="P176" t="s">
        <v>26</v>
      </c>
      <c r="Q176" t="s">
        <v>36</v>
      </c>
      <c r="R176" t="s">
        <v>44</v>
      </c>
      <c r="S176" t="str">
        <f t="shared" si="26"/>
        <v>Check Return</v>
      </c>
      <c r="T176">
        <v>5</v>
      </c>
      <c r="U176" t="str">
        <f t="shared" si="27"/>
        <v>OK</v>
      </c>
      <c r="V176" s="5">
        <v>2025</v>
      </c>
      <c r="W176" s="5">
        <f t="shared" si="28"/>
        <v>2025</v>
      </c>
      <c r="X176" t="str">
        <f t="shared" si="29"/>
        <v>Correct</v>
      </c>
    </row>
    <row r="177" spans="1:24" x14ac:dyDescent="0.3">
      <c r="A177" t="s">
        <v>432</v>
      </c>
      <c r="B177" s="3">
        <v>45764</v>
      </c>
      <c r="C177" t="s">
        <v>433</v>
      </c>
      <c r="D177" t="s">
        <v>81</v>
      </c>
      <c r="E177" t="s">
        <v>31</v>
      </c>
      <c r="F177">
        <v>53</v>
      </c>
      <c r="G177" t="s">
        <v>481</v>
      </c>
      <c r="H177" t="s">
        <v>53</v>
      </c>
      <c r="I177" t="s">
        <v>66</v>
      </c>
      <c r="J177" t="s">
        <v>67</v>
      </c>
      <c r="K177">
        <v>3</v>
      </c>
      <c r="L177" t="str">
        <f t="shared" si="25"/>
        <v>Valid</v>
      </c>
      <c r="M177" s="9">
        <v>521</v>
      </c>
      <c r="N177" s="9">
        <v>48</v>
      </c>
      <c r="O177" s="9">
        <v>41</v>
      </c>
      <c r="P177" t="s">
        <v>78</v>
      </c>
      <c r="Q177" t="s">
        <v>43</v>
      </c>
      <c r="R177" t="s">
        <v>37</v>
      </c>
      <c r="S177" t="str">
        <f t="shared" si="26"/>
        <v>OK</v>
      </c>
      <c r="T177">
        <v>4</v>
      </c>
      <c r="U177" t="str">
        <f t="shared" si="27"/>
        <v>OK</v>
      </c>
      <c r="V177" s="5">
        <v>1556</v>
      </c>
      <c r="W177" s="5">
        <f t="shared" si="28"/>
        <v>1556</v>
      </c>
      <c r="X177" t="str">
        <f t="shared" si="29"/>
        <v>Correct</v>
      </c>
    </row>
    <row r="178" spans="1:24" x14ac:dyDescent="0.3">
      <c r="A178" t="s">
        <v>434</v>
      </c>
      <c r="B178" s="3">
        <v>45720</v>
      </c>
      <c r="C178" t="s">
        <v>435</v>
      </c>
      <c r="D178" t="s">
        <v>81</v>
      </c>
      <c r="E178" t="s">
        <v>21</v>
      </c>
      <c r="F178">
        <v>51</v>
      </c>
      <c r="G178" t="s">
        <v>481</v>
      </c>
      <c r="H178" t="s">
        <v>59</v>
      </c>
      <c r="I178" t="s">
        <v>24</v>
      </c>
      <c r="J178" t="s">
        <v>191</v>
      </c>
      <c r="K178">
        <v>3</v>
      </c>
      <c r="L178" t="str">
        <f t="shared" si="25"/>
        <v>Valid</v>
      </c>
      <c r="M178" s="9">
        <v>396</v>
      </c>
      <c r="N178" s="9">
        <v>17</v>
      </c>
      <c r="O178" s="9">
        <v>39</v>
      </c>
      <c r="P178" t="s">
        <v>49</v>
      </c>
      <c r="Q178" t="s">
        <v>27</v>
      </c>
      <c r="R178" t="s">
        <v>44</v>
      </c>
      <c r="S178" t="str">
        <f t="shared" si="26"/>
        <v>Check Return</v>
      </c>
      <c r="T178">
        <v>1</v>
      </c>
      <c r="U178" t="str">
        <f t="shared" si="27"/>
        <v>OK</v>
      </c>
      <c r="V178" s="5">
        <v>1210</v>
      </c>
      <c r="W178" s="5">
        <f t="shared" si="28"/>
        <v>1210</v>
      </c>
      <c r="X178" t="str">
        <f t="shared" si="29"/>
        <v>Correct</v>
      </c>
    </row>
    <row r="179" spans="1:24" x14ac:dyDescent="0.3">
      <c r="A179" t="s">
        <v>436</v>
      </c>
      <c r="B179" s="3">
        <v>45659</v>
      </c>
      <c r="C179" t="s">
        <v>437</v>
      </c>
      <c r="D179" t="s">
        <v>81</v>
      </c>
      <c r="E179" t="s">
        <v>31</v>
      </c>
      <c r="F179">
        <v>41</v>
      </c>
      <c r="G179" t="s">
        <v>64</v>
      </c>
      <c r="H179" t="s">
        <v>59</v>
      </c>
      <c r="I179" t="s">
        <v>66</v>
      </c>
      <c r="J179" t="s">
        <v>48</v>
      </c>
      <c r="K179">
        <v>2</v>
      </c>
      <c r="L179" t="str">
        <f t="shared" si="25"/>
        <v>Valid</v>
      </c>
      <c r="M179" s="9">
        <v>189</v>
      </c>
      <c r="N179" s="9">
        <v>90</v>
      </c>
      <c r="O179" s="9">
        <v>14</v>
      </c>
      <c r="P179" t="s">
        <v>49</v>
      </c>
      <c r="Q179" t="s">
        <v>36</v>
      </c>
      <c r="R179" t="s">
        <v>44</v>
      </c>
      <c r="S179" t="str">
        <f t="shared" si="26"/>
        <v>Check Return</v>
      </c>
      <c r="T179">
        <v>5</v>
      </c>
      <c r="U179" t="str">
        <f t="shared" si="27"/>
        <v>OK</v>
      </c>
      <c r="V179" s="5">
        <v>302</v>
      </c>
      <c r="W179" s="5">
        <f t="shared" si="28"/>
        <v>302</v>
      </c>
      <c r="X179" t="str">
        <f t="shared" si="29"/>
        <v>Correct</v>
      </c>
    </row>
    <row r="180" spans="1:24" x14ac:dyDescent="0.3">
      <c r="A180" t="s">
        <v>438</v>
      </c>
      <c r="B180" s="3">
        <v>45660</v>
      </c>
      <c r="C180" t="s">
        <v>439</v>
      </c>
      <c r="D180" t="s">
        <v>75</v>
      </c>
      <c r="E180" t="s">
        <v>31</v>
      </c>
      <c r="F180">
        <v>52</v>
      </c>
      <c r="G180" t="s">
        <v>64</v>
      </c>
      <c r="H180" t="s">
        <v>65</v>
      </c>
      <c r="I180" t="s">
        <v>34</v>
      </c>
      <c r="J180" t="s">
        <v>191</v>
      </c>
      <c r="K180">
        <v>5</v>
      </c>
      <c r="L180" t="str">
        <f t="shared" si="25"/>
        <v>Valid</v>
      </c>
      <c r="M180" s="9">
        <v>1179</v>
      </c>
      <c r="N180" s="9">
        <v>52</v>
      </c>
      <c r="O180" s="9">
        <v>5</v>
      </c>
      <c r="P180" t="s">
        <v>26</v>
      </c>
      <c r="Q180" t="s">
        <v>27</v>
      </c>
      <c r="R180" t="s">
        <v>44</v>
      </c>
      <c r="S180" t="str">
        <f t="shared" si="26"/>
        <v>Check Return</v>
      </c>
      <c r="T180">
        <v>4</v>
      </c>
      <c r="U180" t="str">
        <f t="shared" si="27"/>
        <v>OK</v>
      </c>
      <c r="V180" s="5">
        <v>5848</v>
      </c>
      <c r="W180" s="5">
        <f t="shared" si="28"/>
        <v>5848</v>
      </c>
      <c r="X180" t="str">
        <f t="shared" si="29"/>
        <v>Correct</v>
      </c>
    </row>
    <row r="181" spans="1:24" x14ac:dyDescent="0.3">
      <c r="A181" t="s">
        <v>440</v>
      </c>
      <c r="B181" s="3">
        <v>45725</v>
      </c>
      <c r="C181" t="s">
        <v>441</v>
      </c>
      <c r="D181" t="s">
        <v>52</v>
      </c>
      <c r="E181" t="s">
        <v>31</v>
      </c>
      <c r="F181">
        <v>35</v>
      </c>
      <c r="G181" t="s">
        <v>481</v>
      </c>
      <c r="H181" t="s">
        <v>151</v>
      </c>
      <c r="I181" t="s">
        <v>66</v>
      </c>
      <c r="J181" t="s">
        <v>154</v>
      </c>
      <c r="K181">
        <v>2</v>
      </c>
      <c r="L181" t="str">
        <f t="shared" si="25"/>
        <v>Valid</v>
      </c>
      <c r="M181" s="9">
        <v>543</v>
      </c>
      <c r="N181" s="9">
        <v>24</v>
      </c>
      <c r="O181" s="9">
        <v>44</v>
      </c>
      <c r="P181" t="s">
        <v>26</v>
      </c>
      <c r="Q181" t="s">
        <v>27</v>
      </c>
      <c r="R181" t="s">
        <v>37</v>
      </c>
      <c r="S181" t="str">
        <f t="shared" si="26"/>
        <v>OK</v>
      </c>
      <c r="T181">
        <v>4</v>
      </c>
      <c r="U181" t="str">
        <f t="shared" si="27"/>
        <v>OK</v>
      </c>
      <c r="V181" s="5">
        <v>1106</v>
      </c>
      <c r="W181" s="5">
        <f t="shared" si="28"/>
        <v>1106</v>
      </c>
      <c r="X181" t="str">
        <f t="shared" si="29"/>
        <v>Correct</v>
      </c>
    </row>
    <row r="182" spans="1:24" x14ac:dyDescent="0.3">
      <c r="A182" t="s">
        <v>442</v>
      </c>
      <c r="B182" s="3">
        <v>45741</v>
      </c>
      <c r="C182" t="s">
        <v>443</v>
      </c>
      <c r="D182" t="s">
        <v>20</v>
      </c>
      <c r="E182" t="s">
        <v>21</v>
      </c>
      <c r="F182">
        <v>23</v>
      </c>
      <c r="G182" t="s">
        <v>64</v>
      </c>
      <c r="H182" t="s">
        <v>59</v>
      </c>
      <c r="I182" t="s">
        <v>66</v>
      </c>
      <c r="J182" t="s">
        <v>77</v>
      </c>
      <c r="K182">
        <v>2</v>
      </c>
      <c r="L182" t="str">
        <f t="shared" si="25"/>
        <v>Valid</v>
      </c>
      <c r="M182" s="9">
        <v>664</v>
      </c>
      <c r="N182" s="9">
        <v>87</v>
      </c>
      <c r="O182" s="9">
        <v>10</v>
      </c>
      <c r="P182" t="s">
        <v>26</v>
      </c>
      <c r="Q182" t="s">
        <v>134</v>
      </c>
      <c r="R182" t="s">
        <v>37</v>
      </c>
      <c r="S182" t="str">
        <f t="shared" si="26"/>
        <v>OK</v>
      </c>
      <c r="T182">
        <v>5</v>
      </c>
      <c r="U182" t="str">
        <f t="shared" si="27"/>
        <v>OK</v>
      </c>
      <c r="V182" s="5">
        <v>1251</v>
      </c>
      <c r="W182" s="5">
        <f t="shared" si="28"/>
        <v>1251</v>
      </c>
      <c r="X182" t="str">
        <f t="shared" si="29"/>
        <v>Correct</v>
      </c>
    </row>
    <row r="183" spans="1:24" x14ac:dyDescent="0.3">
      <c r="A183" t="s">
        <v>444</v>
      </c>
      <c r="B183" s="3">
        <v>45740</v>
      </c>
      <c r="C183" t="s">
        <v>445</v>
      </c>
      <c r="D183" t="s">
        <v>52</v>
      </c>
      <c r="E183" t="s">
        <v>21</v>
      </c>
      <c r="F183">
        <v>51</v>
      </c>
      <c r="G183" t="s">
        <v>64</v>
      </c>
      <c r="H183" t="s">
        <v>151</v>
      </c>
      <c r="I183" t="s">
        <v>66</v>
      </c>
      <c r="J183" t="s">
        <v>112</v>
      </c>
      <c r="K183">
        <v>2</v>
      </c>
      <c r="L183" t="str">
        <f t="shared" si="25"/>
        <v>Valid</v>
      </c>
      <c r="M183" s="9">
        <v>219</v>
      </c>
      <c r="N183" s="9">
        <v>63</v>
      </c>
      <c r="O183" s="9">
        <v>32</v>
      </c>
      <c r="P183" t="s">
        <v>49</v>
      </c>
      <c r="Q183" t="s">
        <v>56</v>
      </c>
      <c r="R183" t="s">
        <v>28</v>
      </c>
      <c r="S183" t="str">
        <f t="shared" si="26"/>
        <v>OK</v>
      </c>
      <c r="T183">
        <v>5</v>
      </c>
      <c r="U183" t="str">
        <f t="shared" si="27"/>
        <v>OK</v>
      </c>
      <c r="V183" s="5">
        <v>407</v>
      </c>
      <c r="W183" s="5">
        <f t="shared" si="28"/>
        <v>407</v>
      </c>
      <c r="X183" t="str">
        <f t="shared" si="29"/>
        <v>Correct</v>
      </c>
    </row>
    <row r="184" spans="1:24" x14ac:dyDescent="0.3">
      <c r="A184" t="s">
        <v>446</v>
      </c>
      <c r="B184" s="3">
        <v>45742</v>
      </c>
      <c r="C184" t="s">
        <v>447</v>
      </c>
      <c r="D184" t="s">
        <v>40</v>
      </c>
      <c r="E184" t="s">
        <v>21</v>
      </c>
      <c r="F184">
        <v>38</v>
      </c>
      <c r="G184" t="s">
        <v>22</v>
      </c>
      <c r="H184" t="s">
        <v>65</v>
      </c>
      <c r="I184" t="s">
        <v>66</v>
      </c>
      <c r="J184" t="s">
        <v>67</v>
      </c>
      <c r="K184">
        <v>6</v>
      </c>
      <c r="L184" t="str">
        <f t="shared" si="25"/>
        <v>Valid</v>
      </c>
      <c r="M184" s="9">
        <v>624</v>
      </c>
      <c r="N184" s="9">
        <v>69</v>
      </c>
      <c r="O184" s="9">
        <v>41</v>
      </c>
      <c r="P184" t="s">
        <v>49</v>
      </c>
      <c r="Q184" t="s">
        <v>56</v>
      </c>
      <c r="R184" t="s">
        <v>44</v>
      </c>
      <c r="S184" t="str">
        <f t="shared" si="26"/>
        <v>Check Return</v>
      </c>
      <c r="T184">
        <v>2</v>
      </c>
      <c r="U184" t="str">
        <f t="shared" si="27"/>
        <v>OK</v>
      </c>
      <c r="V184" s="5">
        <v>3716</v>
      </c>
      <c r="W184" s="5">
        <f t="shared" si="28"/>
        <v>3716</v>
      </c>
      <c r="X184" t="str">
        <f t="shared" si="29"/>
        <v>Correct</v>
      </c>
    </row>
    <row r="185" spans="1:24" x14ac:dyDescent="0.3">
      <c r="A185" t="s">
        <v>448</v>
      </c>
      <c r="B185" s="3">
        <v>45744</v>
      </c>
      <c r="C185" t="s">
        <v>449</v>
      </c>
      <c r="D185" t="s">
        <v>75</v>
      </c>
      <c r="E185" t="s">
        <v>31</v>
      </c>
      <c r="F185">
        <v>42</v>
      </c>
      <c r="G185" t="s">
        <v>64</v>
      </c>
      <c r="H185" t="s">
        <v>23</v>
      </c>
      <c r="I185" t="s">
        <v>54</v>
      </c>
      <c r="J185" t="s">
        <v>112</v>
      </c>
      <c r="K185">
        <v>5</v>
      </c>
      <c r="L185" t="str">
        <f t="shared" si="25"/>
        <v>Valid</v>
      </c>
      <c r="M185" s="9">
        <v>542</v>
      </c>
      <c r="N185" s="9">
        <v>72</v>
      </c>
      <c r="O185" s="9">
        <v>29</v>
      </c>
      <c r="P185" t="s">
        <v>78</v>
      </c>
      <c r="Q185" t="s">
        <v>56</v>
      </c>
      <c r="R185" t="s">
        <v>44</v>
      </c>
      <c r="S185" t="str">
        <f t="shared" si="26"/>
        <v>Check Return</v>
      </c>
      <c r="T185">
        <v>1</v>
      </c>
      <c r="U185" t="str">
        <f t="shared" si="27"/>
        <v>OK</v>
      </c>
      <c r="V185" s="5">
        <v>2667</v>
      </c>
      <c r="W185" s="5">
        <f t="shared" si="28"/>
        <v>2667</v>
      </c>
      <c r="X185" t="str">
        <f t="shared" si="29"/>
        <v>Correct</v>
      </c>
    </row>
    <row r="186" spans="1:24" x14ac:dyDescent="0.3">
      <c r="A186" t="s">
        <v>450</v>
      </c>
      <c r="B186" s="3">
        <v>45756</v>
      </c>
      <c r="C186" t="s">
        <v>451</v>
      </c>
      <c r="D186" t="s">
        <v>75</v>
      </c>
      <c r="E186" t="s">
        <v>31</v>
      </c>
      <c r="F186">
        <v>38</v>
      </c>
      <c r="G186" t="s">
        <v>32</v>
      </c>
      <c r="H186" t="s">
        <v>76</v>
      </c>
      <c r="I186" t="s">
        <v>34</v>
      </c>
      <c r="J186" t="s">
        <v>55</v>
      </c>
      <c r="K186">
        <v>2</v>
      </c>
      <c r="L186" t="str">
        <f t="shared" si="25"/>
        <v>Valid</v>
      </c>
      <c r="M186" s="9">
        <v>205</v>
      </c>
      <c r="N186" s="9">
        <v>43</v>
      </c>
      <c r="O186" s="9">
        <v>43</v>
      </c>
      <c r="P186" t="s">
        <v>49</v>
      </c>
      <c r="Q186" t="s">
        <v>43</v>
      </c>
      <c r="R186" t="s">
        <v>37</v>
      </c>
      <c r="S186" t="str">
        <f t="shared" si="26"/>
        <v>OK</v>
      </c>
      <c r="T186">
        <v>4</v>
      </c>
      <c r="U186" t="str">
        <f t="shared" si="27"/>
        <v>OK</v>
      </c>
      <c r="V186" s="5">
        <v>410</v>
      </c>
      <c r="W186" s="5">
        <f t="shared" si="28"/>
        <v>410</v>
      </c>
      <c r="X186" t="str">
        <f t="shared" si="29"/>
        <v>Correct</v>
      </c>
    </row>
    <row r="187" spans="1:24" x14ac:dyDescent="0.3">
      <c r="A187" t="s">
        <v>452</v>
      </c>
      <c r="B187" s="3">
        <v>45742</v>
      </c>
      <c r="C187" t="s">
        <v>453</v>
      </c>
      <c r="D187" t="s">
        <v>63</v>
      </c>
      <c r="E187" t="s">
        <v>21</v>
      </c>
      <c r="F187">
        <v>57</v>
      </c>
      <c r="G187" t="s">
        <v>481</v>
      </c>
      <c r="H187" t="s">
        <v>103</v>
      </c>
      <c r="I187" t="s">
        <v>24</v>
      </c>
      <c r="J187" t="s">
        <v>86</v>
      </c>
      <c r="K187">
        <v>4</v>
      </c>
      <c r="L187" t="str">
        <f t="shared" si="25"/>
        <v>Valid</v>
      </c>
      <c r="M187" s="9">
        <v>430</v>
      </c>
      <c r="N187" s="9">
        <v>87</v>
      </c>
      <c r="O187" s="9">
        <v>42</v>
      </c>
      <c r="P187" t="s">
        <v>26</v>
      </c>
      <c r="Q187" t="s">
        <v>56</v>
      </c>
      <c r="R187" t="s">
        <v>44</v>
      </c>
      <c r="S187" t="str">
        <f t="shared" si="26"/>
        <v>Check Return</v>
      </c>
      <c r="T187">
        <v>1</v>
      </c>
      <c r="U187" t="str">
        <f t="shared" si="27"/>
        <v>OK</v>
      </c>
      <c r="V187" s="5">
        <v>1675</v>
      </c>
      <c r="W187" s="5">
        <f t="shared" si="28"/>
        <v>1675</v>
      </c>
      <c r="X187" t="str">
        <f t="shared" si="29"/>
        <v>Correct</v>
      </c>
    </row>
    <row r="188" spans="1:24" x14ac:dyDescent="0.3">
      <c r="A188" t="s">
        <v>454</v>
      </c>
      <c r="B188" s="3">
        <v>45698</v>
      </c>
      <c r="C188" t="s">
        <v>455</v>
      </c>
      <c r="D188" t="s">
        <v>52</v>
      </c>
      <c r="E188" t="s">
        <v>21</v>
      </c>
      <c r="F188">
        <v>23</v>
      </c>
      <c r="G188" t="s">
        <v>481</v>
      </c>
      <c r="H188" t="s">
        <v>119</v>
      </c>
      <c r="I188" t="s">
        <v>54</v>
      </c>
      <c r="J188" t="s">
        <v>83</v>
      </c>
      <c r="K188">
        <v>6</v>
      </c>
      <c r="L188" t="str">
        <f t="shared" si="25"/>
        <v>Valid</v>
      </c>
      <c r="M188" s="9">
        <v>1348</v>
      </c>
      <c r="N188" s="9">
        <v>19</v>
      </c>
      <c r="O188" s="9">
        <v>29</v>
      </c>
      <c r="P188" t="s">
        <v>49</v>
      </c>
      <c r="Q188" t="s">
        <v>43</v>
      </c>
      <c r="R188" t="s">
        <v>37</v>
      </c>
      <c r="S188" t="str">
        <f t="shared" si="26"/>
        <v>OK</v>
      </c>
      <c r="T188">
        <v>3</v>
      </c>
      <c r="U188" t="str">
        <f t="shared" si="27"/>
        <v>OK</v>
      </c>
      <c r="V188" s="5">
        <v>8098</v>
      </c>
      <c r="W188" s="5">
        <f t="shared" si="28"/>
        <v>8098</v>
      </c>
      <c r="X188" t="str">
        <f t="shared" si="29"/>
        <v>Correct</v>
      </c>
    </row>
    <row r="189" spans="1:24" x14ac:dyDescent="0.3">
      <c r="A189" t="s">
        <v>456</v>
      </c>
      <c r="B189" s="3">
        <v>45729</v>
      </c>
      <c r="C189" t="s">
        <v>457</v>
      </c>
      <c r="D189" t="s">
        <v>75</v>
      </c>
      <c r="E189" t="s">
        <v>31</v>
      </c>
      <c r="F189">
        <v>24</v>
      </c>
      <c r="G189" t="s">
        <v>32</v>
      </c>
      <c r="H189" t="s">
        <v>53</v>
      </c>
      <c r="I189" t="s">
        <v>24</v>
      </c>
      <c r="J189" t="s">
        <v>55</v>
      </c>
      <c r="K189">
        <v>2</v>
      </c>
      <c r="L189" t="str">
        <f t="shared" si="25"/>
        <v>Valid</v>
      </c>
      <c r="M189" s="9">
        <v>932</v>
      </c>
      <c r="N189" s="9">
        <v>57</v>
      </c>
      <c r="O189" s="9">
        <v>40</v>
      </c>
      <c r="P189" t="s">
        <v>49</v>
      </c>
      <c r="Q189" t="s">
        <v>27</v>
      </c>
      <c r="R189" t="s">
        <v>37</v>
      </c>
      <c r="S189" t="str">
        <f t="shared" si="26"/>
        <v>OK</v>
      </c>
      <c r="T189">
        <v>5</v>
      </c>
      <c r="U189" t="str">
        <f t="shared" si="27"/>
        <v>OK</v>
      </c>
      <c r="V189" s="5">
        <v>1847</v>
      </c>
      <c r="W189" s="5">
        <f t="shared" si="28"/>
        <v>1847</v>
      </c>
      <c r="X189" t="str">
        <f t="shared" si="29"/>
        <v>Correct</v>
      </c>
    </row>
    <row r="190" spans="1:24" x14ac:dyDescent="0.3">
      <c r="A190" t="s">
        <v>458</v>
      </c>
      <c r="B190" s="3">
        <v>45707</v>
      </c>
      <c r="C190" t="s">
        <v>459</v>
      </c>
      <c r="D190" t="s">
        <v>40</v>
      </c>
      <c r="E190" t="s">
        <v>21</v>
      </c>
      <c r="F190">
        <v>54</v>
      </c>
      <c r="G190" t="s">
        <v>22</v>
      </c>
      <c r="H190" t="s">
        <v>103</v>
      </c>
      <c r="I190" t="s">
        <v>34</v>
      </c>
      <c r="J190" t="s">
        <v>60</v>
      </c>
      <c r="K190">
        <v>4</v>
      </c>
      <c r="L190" t="str">
        <f t="shared" si="25"/>
        <v>Valid</v>
      </c>
      <c r="M190" s="9">
        <v>75</v>
      </c>
      <c r="N190" s="9">
        <v>37</v>
      </c>
      <c r="O190" s="9">
        <v>31</v>
      </c>
      <c r="P190" t="s">
        <v>78</v>
      </c>
      <c r="Q190" t="s">
        <v>56</v>
      </c>
      <c r="R190" t="s">
        <v>44</v>
      </c>
      <c r="S190" t="str">
        <f t="shared" si="26"/>
        <v>Check Return</v>
      </c>
      <c r="T190">
        <v>4</v>
      </c>
      <c r="U190" t="str">
        <f t="shared" si="27"/>
        <v>OK</v>
      </c>
      <c r="V190" s="5">
        <v>294</v>
      </c>
      <c r="W190" s="5">
        <f t="shared" si="28"/>
        <v>294</v>
      </c>
      <c r="X190" t="str">
        <f t="shared" si="29"/>
        <v>Correct</v>
      </c>
    </row>
    <row r="191" spans="1:24" x14ac:dyDescent="0.3">
      <c r="A191" t="s">
        <v>460</v>
      </c>
      <c r="B191" s="3">
        <v>45679</v>
      </c>
      <c r="C191" t="s">
        <v>461</v>
      </c>
      <c r="D191" t="s">
        <v>63</v>
      </c>
      <c r="E191" t="s">
        <v>31</v>
      </c>
      <c r="F191">
        <v>44</v>
      </c>
      <c r="G191" t="s">
        <v>482</v>
      </c>
      <c r="H191" t="s">
        <v>41</v>
      </c>
      <c r="I191" t="s">
        <v>54</v>
      </c>
      <c r="J191" t="s">
        <v>35</v>
      </c>
      <c r="K191">
        <v>3</v>
      </c>
      <c r="L191" t="str">
        <f t="shared" si="25"/>
        <v>Valid</v>
      </c>
      <c r="M191" s="9">
        <v>1059</v>
      </c>
      <c r="N191" s="9">
        <v>18</v>
      </c>
      <c r="O191" s="9">
        <v>9</v>
      </c>
      <c r="P191" t="s">
        <v>26</v>
      </c>
      <c r="Q191" t="s">
        <v>134</v>
      </c>
      <c r="R191" t="s">
        <v>28</v>
      </c>
      <c r="S191" t="str">
        <f t="shared" si="26"/>
        <v>OK</v>
      </c>
      <c r="T191">
        <v>3</v>
      </c>
      <c r="U191" t="str">
        <f t="shared" si="27"/>
        <v>OK</v>
      </c>
      <c r="V191" s="5">
        <v>3168</v>
      </c>
      <c r="W191" s="5">
        <f t="shared" si="28"/>
        <v>3168</v>
      </c>
      <c r="X191" t="str">
        <f t="shared" si="29"/>
        <v>Correct</v>
      </c>
    </row>
    <row r="192" spans="1:24" x14ac:dyDescent="0.3">
      <c r="A192" t="s">
        <v>462</v>
      </c>
      <c r="B192" s="3">
        <v>45675</v>
      </c>
      <c r="C192" t="s">
        <v>463</v>
      </c>
      <c r="D192" t="s">
        <v>52</v>
      </c>
      <c r="E192" t="s">
        <v>21</v>
      </c>
      <c r="F192">
        <v>43</v>
      </c>
      <c r="G192" t="s">
        <v>482</v>
      </c>
      <c r="H192" t="s">
        <v>71</v>
      </c>
      <c r="I192" t="s">
        <v>66</v>
      </c>
      <c r="J192" t="s">
        <v>184</v>
      </c>
      <c r="K192">
        <v>5</v>
      </c>
      <c r="L192" t="str">
        <f t="shared" si="25"/>
        <v>Valid</v>
      </c>
      <c r="M192" s="9">
        <v>450</v>
      </c>
      <c r="N192" s="9">
        <v>58</v>
      </c>
      <c r="O192" s="9">
        <v>11</v>
      </c>
      <c r="P192" t="s">
        <v>26</v>
      </c>
      <c r="Q192" t="s">
        <v>36</v>
      </c>
      <c r="R192" t="s">
        <v>37</v>
      </c>
      <c r="S192" t="str">
        <f t="shared" si="26"/>
        <v>OK</v>
      </c>
      <c r="T192">
        <v>3</v>
      </c>
      <c r="U192" t="str">
        <f t="shared" si="27"/>
        <v>OK</v>
      </c>
      <c r="V192" s="5">
        <v>2203</v>
      </c>
      <c r="W192" s="5">
        <f t="shared" si="28"/>
        <v>2203</v>
      </c>
      <c r="X192" t="str">
        <f t="shared" si="29"/>
        <v>Correct</v>
      </c>
    </row>
    <row r="193" spans="1:24" x14ac:dyDescent="0.3">
      <c r="A193" t="s">
        <v>464</v>
      </c>
      <c r="B193" s="3">
        <v>45735</v>
      </c>
      <c r="C193" t="s">
        <v>465</v>
      </c>
      <c r="D193" t="s">
        <v>20</v>
      </c>
      <c r="E193" t="s">
        <v>21</v>
      </c>
      <c r="F193">
        <v>48</v>
      </c>
      <c r="G193" t="s">
        <v>32</v>
      </c>
      <c r="H193" t="s">
        <v>71</v>
      </c>
      <c r="I193" t="s">
        <v>54</v>
      </c>
      <c r="J193" t="s">
        <v>67</v>
      </c>
      <c r="K193">
        <v>5</v>
      </c>
      <c r="L193" t="str">
        <f t="shared" si="25"/>
        <v>Valid</v>
      </c>
      <c r="M193" s="9">
        <v>328</v>
      </c>
      <c r="N193" s="9">
        <v>38</v>
      </c>
      <c r="O193" s="9">
        <v>25</v>
      </c>
      <c r="P193" t="s">
        <v>26</v>
      </c>
      <c r="Q193" t="s">
        <v>56</v>
      </c>
      <c r="R193" t="s">
        <v>37</v>
      </c>
      <c r="S193" t="str">
        <f t="shared" si="26"/>
        <v>OK</v>
      </c>
      <c r="T193">
        <v>3</v>
      </c>
      <c r="U193" t="str">
        <f t="shared" si="27"/>
        <v>OK</v>
      </c>
      <c r="V193" s="5">
        <v>1627</v>
      </c>
      <c r="W193" s="5">
        <f t="shared" si="28"/>
        <v>1627</v>
      </c>
      <c r="X193" t="str">
        <f t="shared" si="29"/>
        <v>Correct</v>
      </c>
    </row>
    <row r="194" spans="1:24" x14ac:dyDescent="0.3">
      <c r="A194" t="s">
        <v>466</v>
      </c>
      <c r="B194" s="3">
        <v>45704</v>
      </c>
      <c r="C194" t="s">
        <v>467</v>
      </c>
      <c r="D194" t="s">
        <v>40</v>
      </c>
      <c r="E194" t="s">
        <v>21</v>
      </c>
      <c r="F194">
        <v>55</v>
      </c>
      <c r="G194" t="s">
        <v>481</v>
      </c>
      <c r="H194" t="s">
        <v>47</v>
      </c>
      <c r="I194" t="s">
        <v>24</v>
      </c>
      <c r="J194" t="s">
        <v>100</v>
      </c>
      <c r="K194">
        <v>3</v>
      </c>
      <c r="L194" t="str">
        <f t="shared" ref="L194:L200" si="30">IF(K194&lt;0,"Invalid","Valid")</f>
        <v>Valid</v>
      </c>
      <c r="M194" s="9">
        <v>820</v>
      </c>
      <c r="N194" s="9">
        <v>35</v>
      </c>
      <c r="O194" s="9">
        <v>30</v>
      </c>
      <c r="P194" t="s">
        <v>78</v>
      </c>
      <c r="Q194" t="s">
        <v>56</v>
      </c>
      <c r="R194" t="s">
        <v>44</v>
      </c>
      <c r="S194" t="str">
        <f t="shared" ref="S194:S200" si="31">IF(AND(R194="Returned",V194&gt;0),"Check Return","OK")</f>
        <v>Check Return</v>
      </c>
      <c r="T194">
        <v>5</v>
      </c>
      <c r="U194" t="str">
        <f t="shared" ref="U194:U200" si="32">IF(T194&gt;5,"Invalid Rating","OK")</f>
        <v>OK</v>
      </c>
      <c r="V194" s="5">
        <v>2455</v>
      </c>
      <c r="W194" s="5">
        <f t="shared" ref="W194:W200" si="33">(K194*M194)-N194+O194</f>
        <v>2455</v>
      </c>
      <c r="X194" t="str">
        <f t="shared" ref="X194:X200" si="34">IF(V194=W194,"Correct","Mismatch")</f>
        <v>Correct</v>
      </c>
    </row>
    <row r="195" spans="1:24" x14ac:dyDescent="0.3">
      <c r="A195" t="s">
        <v>468</v>
      </c>
      <c r="B195" s="3">
        <v>45744</v>
      </c>
      <c r="C195" t="s">
        <v>469</v>
      </c>
      <c r="D195" t="s">
        <v>63</v>
      </c>
      <c r="E195" t="s">
        <v>21</v>
      </c>
      <c r="F195">
        <v>58</v>
      </c>
      <c r="G195" t="s">
        <v>64</v>
      </c>
      <c r="H195" t="s">
        <v>119</v>
      </c>
      <c r="I195" t="s">
        <v>66</v>
      </c>
      <c r="J195" t="s">
        <v>48</v>
      </c>
      <c r="K195">
        <v>3</v>
      </c>
      <c r="L195" t="str">
        <f t="shared" si="30"/>
        <v>Valid</v>
      </c>
      <c r="M195" s="9">
        <v>1468</v>
      </c>
      <c r="N195" s="9">
        <v>8</v>
      </c>
      <c r="O195" s="9">
        <v>31</v>
      </c>
      <c r="P195" t="s">
        <v>26</v>
      </c>
      <c r="Q195" t="s">
        <v>56</v>
      </c>
      <c r="R195" t="s">
        <v>37</v>
      </c>
      <c r="S195" t="str">
        <f t="shared" si="31"/>
        <v>OK</v>
      </c>
      <c r="T195">
        <v>2</v>
      </c>
      <c r="U195" t="str">
        <f t="shared" si="32"/>
        <v>OK</v>
      </c>
      <c r="V195" s="5">
        <v>4427</v>
      </c>
      <c r="W195" s="5">
        <f t="shared" si="33"/>
        <v>4427</v>
      </c>
      <c r="X195" t="str">
        <f t="shared" si="34"/>
        <v>Correct</v>
      </c>
    </row>
    <row r="196" spans="1:24" x14ac:dyDescent="0.3">
      <c r="A196" t="s">
        <v>470</v>
      </c>
      <c r="B196" s="3">
        <v>45726</v>
      </c>
      <c r="C196" t="s">
        <v>471</v>
      </c>
      <c r="D196" t="s">
        <v>75</v>
      </c>
      <c r="E196" t="s">
        <v>31</v>
      </c>
      <c r="F196">
        <v>52</v>
      </c>
      <c r="G196" t="s">
        <v>481</v>
      </c>
      <c r="H196" t="s">
        <v>76</v>
      </c>
      <c r="I196" t="s">
        <v>24</v>
      </c>
      <c r="J196" t="s">
        <v>191</v>
      </c>
      <c r="K196">
        <v>5</v>
      </c>
      <c r="L196" t="str">
        <f t="shared" si="30"/>
        <v>Valid</v>
      </c>
      <c r="M196" s="9">
        <v>1031</v>
      </c>
      <c r="N196" s="9">
        <v>74</v>
      </c>
      <c r="O196" s="9">
        <v>30</v>
      </c>
      <c r="P196" t="s">
        <v>49</v>
      </c>
      <c r="Q196" t="s">
        <v>43</v>
      </c>
      <c r="R196" t="s">
        <v>44</v>
      </c>
      <c r="S196" t="str">
        <f t="shared" si="31"/>
        <v>Check Return</v>
      </c>
      <c r="T196">
        <v>5</v>
      </c>
      <c r="U196" t="str">
        <f t="shared" si="32"/>
        <v>OK</v>
      </c>
      <c r="V196" s="5">
        <v>5111</v>
      </c>
      <c r="W196" s="5">
        <f t="shared" si="33"/>
        <v>5111</v>
      </c>
      <c r="X196" t="str">
        <f t="shared" si="34"/>
        <v>Correct</v>
      </c>
    </row>
    <row r="197" spans="1:24" x14ac:dyDescent="0.3">
      <c r="A197" t="s">
        <v>472</v>
      </c>
      <c r="B197" s="3">
        <v>45736</v>
      </c>
      <c r="C197" t="s">
        <v>473</v>
      </c>
      <c r="D197" t="s">
        <v>40</v>
      </c>
      <c r="E197" t="s">
        <v>31</v>
      </c>
      <c r="F197">
        <v>39</v>
      </c>
      <c r="G197" t="s">
        <v>32</v>
      </c>
      <c r="H197" t="s">
        <v>59</v>
      </c>
      <c r="I197" t="s">
        <v>54</v>
      </c>
      <c r="J197" t="s">
        <v>25</v>
      </c>
      <c r="K197">
        <v>6</v>
      </c>
      <c r="L197" t="str">
        <f t="shared" si="30"/>
        <v>Valid</v>
      </c>
      <c r="M197" s="9">
        <v>777</v>
      </c>
      <c r="N197" s="9">
        <v>21</v>
      </c>
      <c r="O197" s="9">
        <v>46</v>
      </c>
      <c r="P197" t="s">
        <v>26</v>
      </c>
      <c r="Q197" t="s">
        <v>27</v>
      </c>
      <c r="R197" t="s">
        <v>28</v>
      </c>
      <c r="S197" t="str">
        <f t="shared" si="31"/>
        <v>OK</v>
      </c>
      <c r="T197">
        <v>1</v>
      </c>
      <c r="U197" t="str">
        <f t="shared" si="32"/>
        <v>OK</v>
      </c>
      <c r="V197" s="5">
        <v>4687</v>
      </c>
      <c r="W197" s="5">
        <f t="shared" si="33"/>
        <v>4687</v>
      </c>
      <c r="X197" t="str">
        <f t="shared" si="34"/>
        <v>Correct</v>
      </c>
    </row>
    <row r="198" spans="1:24" x14ac:dyDescent="0.3">
      <c r="A198" t="s">
        <v>474</v>
      </c>
      <c r="B198" s="3">
        <v>45731</v>
      </c>
      <c r="C198" t="s">
        <v>475</v>
      </c>
      <c r="D198" t="s">
        <v>81</v>
      </c>
      <c r="E198" t="s">
        <v>31</v>
      </c>
      <c r="F198">
        <v>41</v>
      </c>
      <c r="G198" t="s">
        <v>64</v>
      </c>
      <c r="H198" t="s">
        <v>33</v>
      </c>
      <c r="I198" t="s">
        <v>34</v>
      </c>
      <c r="J198" t="s">
        <v>184</v>
      </c>
      <c r="K198">
        <v>5</v>
      </c>
      <c r="L198" t="str">
        <f t="shared" si="30"/>
        <v>Valid</v>
      </c>
      <c r="M198" s="9">
        <v>1192</v>
      </c>
      <c r="N198" s="9">
        <v>74</v>
      </c>
      <c r="O198" s="9">
        <v>49</v>
      </c>
      <c r="P198" t="s">
        <v>26</v>
      </c>
      <c r="Q198" t="s">
        <v>134</v>
      </c>
      <c r="R198" t="s">
        <v>44</v>
      </c>
      <c r="S198" t="str">
        <f t="shared" si="31"/>
        <v>Check Return</v>
      </c>
      <c r="T198">
        <v>5</v>
      </c>
      <c r="U198" t="str">
        <f t="shared" si="32"/>
        <v>OK</v>
      </c>
      <c r="V198" s="5">
        <v>5935</v>
      </c>
      <c r="W198" s="5">
        <f t="shared" si="33"/>
        <v>5935</v>
      </c>
      <c r="X198" t="str">
        <f t="shared" si="34"/>
        <v>Correct</v>
      </c>
    </row>
    <row r="199" spans="1:24" x14ac:dyDescent="0.3">
      <c r="A199" t="s">
        <v>476</v>
      </c>
      <c r="B199" s="3">
        <v>45672</v>
      </c>
      <c r="C199" t="s">
        <v>477</v>
      </c>
      <c r="D199" t="s">
        <v>20</v>
      </c>
      <c r="E199" t="s">
        <v>21</v>
      </c>
      <c r="F199">
        <v>40</v>
      </c>
      <c r="G199" t="s">
        <v>482</v>
      </c>
      <c r="H199" t="s">
        <v>76</v>
      </c>
      <c r="I199" t="s">
        <v>66</v>
      </c>
      <c r="J199" t="s">
        <v>86</v>
      </c>
      <c r="K199">
        <v>1</v>
      </c>
      <c r="L199" t="str">
        <f t="shared" si="30"/>
        <v>Valid</v>
      </c>
      <c r="M199" s="9">
        <v>655</v>
      </c>
      <c r="N199" s="9">
        <v>53</v>
      </c>
      <c r="O199" s="9">
        <v>10</v>
      </c>
      <c r="P199" t="s">
        <v>26</v>
      </c>
      <c r="Q199" t="s">
        <v>43</v>
      </c>
      <c r="R199" t="s">
        <v>37</v>
      </c>
      <c r="S199" t="str">
        <f t="shared" si="31"/>
        <v>OK</v>
      </c>
      <c r="T199">
        <v>2</v>
      </c>
      <c r="U199" t="str">
        <f t="shared" si="32"/>
        <v>OK</v>
      </c>
      <c r="V199" s="5">
        <v>612</v>
      </c>
      <c r="W199" s="5">
        <f t="shared" si="33"/>
        <v>612</v>
      </c>
      <c r="X199" t="str">
        <f t="shared" si="34"/>
        <v>Correct</v>
      </c>
    </row>
    <row r="200" spans="1:24" x14ac:dyDescent="0.3">
      <c r="A200" t="s">
        <v>478</v>
      </c>
      <c r="B200" s="3">
        <v>45666</v>
      </c>
      <c r="C200" t="s">
        <v>479</v>
      </c>
      <c r="D200" t="s">
        <v>52</v>
      </c>
      <c r="E200" t="s">
        <v>21</v>
      </c>
      <c r="F200">
        <v>25</v>
      </c>
      <c r="G200" t="s">
        <v>70</v>
      </c>
      <c r="H200" t="s">
        <v>82</v>
      </c>
      <c r="I200" t="s">
        <v>66</v>
      </c>
      <c r="J200" t="s">
        <v>67</v>
      </c>
      <c r="K200">
        <v>4</v>
      </c>
      <c r="L200" t="str">
        <f t="shared" si="30"/>
        <v>Valid</v>
      </c>
      <c r="M200" s="9">
        <v>1476</v>
      </c>
      <c r="N200" s="9">
        <v>57</v>
      </c>
      <c r="O200" s="9">
        <v>25</v>
      </c>
      <c r="P200" t="s">
        <v>49</v>
      </c>
      <c r="Q200" t="s">
        <v>43</v>
      </c>
      <c r="R200" t="s">
        <v>44</v>
      </c>
      <c r="S200" t="str">
        <f t="shared" si="31"/>
        <v>Check Return</v>
      </c>
      <c r="T200">
        <v>1</v>
      </c>
      <c r="U200" t="str">
        <f t="shared" si="32"/>
        <v>OK</v>
      </c>
      <c r="V200" s="5">
        <v>5872</v>
      </c>
      <c r="W200" s="5">
        <f t="shared" si="33"/>
        <v>5872</v>
      </c>
      <c r="X200" t="str">
        <f t="shared" si="34"/>
        <v>Correct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sagir ladan</cp:lastModifiedBy>
  <dcterms:created xsi:type="dcterms:W3CDTF">2026-05-19T13:44:36Z</dcterms:created>
  <dcterms:modified xsi:type="dcterms:W3CDTF">2026-05-20T21:49:42Z</dcterms:modified>
</cp:coreProperties>
</file>